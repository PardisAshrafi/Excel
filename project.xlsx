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pardis\Desktop\"/>
    </mc:Choice>
  </mc:AlternateContent>
  <xr:revisionPtr revIDLastSave="0" documentId="13_ncr:1_{830C2D35-D3B8-47B5-9C7B-4C3183340F25}" xr6:coauthVersionLast="47" xr6:coauthVersionMax="47" xr10:uidLastSave="{00000000-0000-0000-0000-000000000000}"/>
  <bookViews>
    <workbookView xWindow="-108" yWindow="-108" windowWidth="23256" windowHeight="12576" activeTab="5" xr2:uid="{C72EFFFC-FAF2-470A-AF78-335034CD8769}"/>
  </bookViews>
  <sheets>
    <sheet name="Sheet11" sheetId="13" r:id="rId1"/>
    <sheet name="Calc" sheetId="4" r:id="rId2"/>
    <sheet name="Info" sheetId="1" r:id="rId3"/>
    <sheet name="Salary" sheetId="2" r:id="rId4"/>
    <sheet name="Sheet3" sheetId="3" r:id="rId5"/>
    <sheet name="HR" sheetId="11" r:id="rId6"/>
    <sheet name="Finance" sheetId="12" r:id="rId7"/>
  </sheets>
  <definedNames>
    <definedName name="_xlcn.WorksheetConnection_Rev01.xlsxInfo1" hidden="1">Info[]</definedName>
    <definedName name="_xlcn.WorksheetConnection_Rev01.xlsxSalary1" hidden="1">Salary[]</definedName>
    <definedName name="average">Info!$Q$9</definedName>
    <definedName name="Birth">Calc!$B$14</definedName>
    <definedName name="birthday">Calc!$B$17</definedName>
    <definedName name="ExternalData_1" localSheetId="0" hidden="1">Sheet11!$A$3:$H$22</definedName>
    <definedName name="Gauge">Calc!$E$34</definedName>
    <definedName name="Slicer_ماه">#N/A</definedName>
    <definedName name="title">Calc!$K$33</definedName>
    <definedName name="Total">Calc!$A$12</definedName>
  </definedNames>
  <calcPr calcId="191029"/>
  <pivotCaches>
    <pivotCache cacheId="267" r:id="rId8"/>
    <pivotCache cacheId="274" r:id="rId9"/>
    <pivotCache cacheId="277" r:id="rId10"/>
    <pivotCache cacheId="469" r:id="rId11"/>
  </pivotCaches>
  <extLst>
    <ext xmlns:x14="http://schemas.microsoft.com/office/spreadsheetml/2009/9/main" uri="{876F7934-8845-4945-9796-88D515C7AA90}">
      <x14:pivotCaches>
        <pivotCache cacheId="270"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ary" name="Salary" connection="WorksheetConnection_Rev01.xlsx!Salary"/>
          <x15:modelTable id="Info" name="Info" connection="WorksheetConnection_Rev01.xlsx!Info"/>
        </x15:modelTables>
        <x15:modelRelationships>
          <x15:modelRelationship fromTable="Salary" fromColumn="کد پرسنلی" toTable="Info" toColumn="کد پرسنلی"/>
        </x15:modelRelationships>
      </x15:dataModel>
    </ext>
  </extLst>
</workbook>
</file>

<file path=xl/calcChain.xml><?xml version="1.0" encoding="utf-8"?>
<calcChain xmlns="http://schemas.openxmlformats.org/spreadsheetml/2006/main">
  <c r="K33" i="4" l="1"/>
  <c r="B16" i="4"/>
  <c r="B17" i="4" s="1"/>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E34" i="4"/>
  <c r="L20" i="4"/>
  <c r="L19" i="4"/>
  <c r="L18" i="4"/>
  <c r="A12" i="4"/>
  <c r="A10" i="4"/>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E3" i="2"/>
  <c r="G3" i="2" s="1"/>
  <c r="E4" i="2"/>
  <c r="H4" i="2" s="1"/>
  <c r="E5" i="2"/>
  <c r="I5" i="2" s="1"/>
  <c r="E6" i="2"/>
  <c r="I6" i="2" s="1"/>
  <c r="E7" i="2"/>
  <c r="G7" i="2" s="1"/>
  <c r="E8" i="2"/>
  <c r="G8" i="2" s="1"/>
  <c r="E9" i="2"/>
  <c r="I9" i="2" s="1"/>
  <c r="E10" i="2"/>
  <c r="E11" i="2"/>
  <c r="H11" i="2" s="1"/>
  <c r="E12" i="2"/>
  <c r="I12" i="2" s="1"/>
  <c r="E13" i="2"/>
  <c r="H13" i="2" s="1"/>
  <c r="E14" i="2"/>
  <c r="E15" i="2"/>
  <c r="G15" i="2" s="1"/>
  <c r="E16" i="2"/>
  <c r="H16" i="2" s="1"/>
  <c r="E17" i="2"/>
  <c r="G17" i="2" s="1"/>
  <c r="E18" i="2"/>
  <c r="E19" i="2"/>
  <c r="E20" i="2"/>
  <c r="I20" i="2" s="1"/>
  <c r="E21" i="2"/>
  <c r="I21" i="2" s="1"/>
  <c r="E22" i="2"/>
  <c r="G22" i="2" s="1"/>
  <c r="E23" i="2"/>
  <c r="E24" i="2"/>
  <c r="G24" i="2" s="1"/>
  <c r="E25" i="2"/>
  <c r="I25" i="2" s="1"/>
  <c r="E26" i="2"/>
  <c r="E27" i="2"/>
  <c r="E28" i="2"/>
  <c r="G28" i="2" s="1"/>
  <c r="E29" i="2"/>
  <c r="I29" i="2" s="1"/>
  <c r="E30" i="2"/>
  <c r="G30" i="2" s="1"/>
  <c r="E31" i="2"/>
  <c r="E32" i="2"/>
  <c r="E33" i="2"/>
  <c r="H33" i="2" s="1"/>
  <c r="E34" i="2"/>
  <c r="E35" i="2"/>
  <c r="E36" i="2"/>
  <c r="I36" i="2" s="1"/>
  <c r="E37" i="2"/>
  <c r="G37" i="2" s="1"/>
  <c r="E38" i="2"/>
  <c r="G38" i="2" s="1"/>
  <c r="E39" i="2"/>
  <c r="H39" i="2" s="1"/>
  <c r="E40" i="2"/>
  <c r="E41" i="2"/>
  <c r="H41" i="2" s="1"/>
  <c r="E42" i="2"/>
  <c r="J42" i="2" s="1"/>
  <c r="E43" i="2"/>
  <c r="I43" i="2" s="1"/>
  <c r="E44" i="2"/>
  <c r="I44" i="2" s="1"/>
  <c r="E45" i="2"/>
  <c r="G45" i="2" s="1"/>
  <c r="E46" i="2"/>
  <c r="J46" i="2" s="1"/>
  <c r="E47" i="2"/>
  <c r="H47" i="2" s="1"/>
  <c r="E48" i="2"/>
  <c r="J48" i="2" s="1"/>
  <c r="E49" i="2"/>
  <c r="I49" i="2" s="1"/>
  <c r="E50" i="2"/>
  <c r="J50" i="2" s="1"/>
  <c r="E51" i="2"/>
  <c r="H51" i="2" s="1"/>
  <c r="E52" i="2"/>
  <c r="J52" i="2" s="1"/>
  <c r="E53" i="2"/>
  <c r="J53" i="2" s="1"/>
  <c r="E54" i="2"/>
  <c r="J54" i="2" s="1"/>
  <c r="E55" i="2"/>
  <c r="G55" i="2" s="1"/>
  <c r="E56" i="2"/>
  <c r="I56" i="2" s="1"/>
  <c r="E57" i="2"/>
  <c r="J57" i="2" s="1"/>
  <c r="E58" i="2"/>
  <c r="H58" i="2" s="1"/>
  <c r="E59" i="2"/>
  <c r="G59" i="2" s="1"/>
  <c r="E60" i="2"/>
  <c r="G60" i="2" s="1"/>
  <c r="E61" i="2"/>
  <c r="J61" i="2" s="1"/>
  <c r="E62" i="2"/>
  <c r="J62" i="2" s="1"/>
  <c r="E63" i="2"/>
  <c r="J63" i="2" s="1"/>
  <c r="E64" i="2"/>
  <c r="E65" i="2"/>
  <c r="I65" i="2" s="1"/>
  <c r="E66" i="2"/>
  <c r="I66" i="2" s="1"/>
  <c r="E67" i="2"/>
  <c r="J67" i="2" s="1"/>
  <c r="E68" i="2"/>
  <c r="I68" i="2" s="1"/>
  <c r="E69" i="2"/>
  <c r="H69" i="2" s="1"/>
  <c r="E70" i="2"/>
  <c r="J70" i="2" s="1"/>
  <c r="E71" i="2"/>
  <c r="J71" i="2" s="1"/>
  <c r="E72" i="2"/>
  <c r="E73" i="2"/>
  <c r="G73" i="2" s="1"/>
  <c r="E74" i="2"/>
  <c r="I74" i="2" s="1"/>
  <c r="E75" i="2"/>
  <c r="H75" i="2" s="1"/>
  <c r="E76" i="2"/>
  <c r="I76" i="2" s="1"/>
  <c r="E77" i="2"/>
  <c r="I77" i="2" s="1"/>
  <c r="E78" i="2"/>
  <c r="J78" i="2" s="1"/>
  <c r="E79" i="2"/>
  <c r="G79" i="2" s="1"/>
  <c r="E80" i="2"/>
  <c r="J80" i="2" s="1"/>
  <c r="E81" i="2"/>
  <c r="I81" i="2" s="1"/>
  <c r="E82" i="2"/>
  <c r="J82" i="2" s="1"/>
  <c r="E83" i="2"/>
  <c r="J83" i="2" s="1"/>
  <c r="E84" i="2"/>
  <c r="J84" i="2" s="1"/>
  <c r="E85" i="2"/>
  <c r="I85" i="2" s="1"/>
  <c r="E86" i="2"/>
  <c r="J86" i="2" s="1"/>
  <c r="E87" i="2"/>
  <c r="J87" i="2" s="1"/>
  <c r="E88" i="2"/>
  <c r="I88" i="2" s="1"/>
  <c r="E89" i="2"/>
  <c r="H89" i="2" s="1"/>
  <c r="E90" i="2"/>
  <c r="J90" i="2" s="1"/>
  <c r="E91" i="2"/>
  <c r="G91" i="2" s="1"/>
  <c r="E92" i="2"/>
  <c r="G92" i="2" s="1"/>
  <c r="E93" i="2"/>
  <c r="G93" i="2" s="1"/>
  <c r="E94" i="2"/>
  <c r="J94" i="2" s="1"/>
  <c r="E95" i="2"/>
  <c r="H95" i="2" s="1"/>
  <c r="E96" i="2"/>
  <c r="H96" i="2" s="1"/>
  <c r="E97" i="2"/>
  <c r="G97" i="2" s="1"/>
  <c r="E98" i="2"/>
  <c r="J98" i="2" s="1"/>
  <c r="E99" i="2"/>
  <c r="G99" i="2" s="1"/>
  <c r="E100" i="2"/>
  <c r="I100" i="2" s="1"/>
  <c r="E101" i="2"/>
  <c r="I101" i="2" s="1"/>
  <c r="E102" i="2"/>
  <c r="J102" i="2" s="1"/>
  <c r="E103" i="2"/>
  <c r="J103" i="2" s="1"/>
  <c r="E104" i="2"/>
  <c r="E105" i="2"/>
  <c r="J105" i="2" s="1"/>
  <c r="E106" i="2"/>
  <c r="G106" i="2" s="1"/>
  <c r="E107" i="2"/>
  <c r="G107" i="2" s="1"/>
  <c r="E108" i="2"/>
  <c r="G108" i="2" s="1"/>
  <c r="E109" i="2"/>
  <c r="I109" i="2" s="1"/>
  <c r="E110" i="2"/>
  <c r="J110" i="2" s="1"/>
  <c r="E111" i="2"/>
  <c r="J111" i="2" s="1"/>
  <c r="E112" i="2"/>
  <c r="J112" i="2" s="1"/>
  <c r="E113" i="2"/>
  <c r="J113" i="2" s="1"/>
  <c r="E114" i="2"/>
  <c r="J114" i="2" s="1"/>
  <c r="E115" i="2"/>
  <c r="G115" i="2" s="1"/>
  <c r="E116" i="2"/>
  <c r="G116" i="2" s="1"/>
  <c r="E117" i="2"/>
  <c r="I117" i="2" s="1"/>
  <c r="E118" i="2"/>
  <c r="J118" i="2" s="1"/>
  <c r="E119" i="2"/>
  <c r="J119" i="2" s="1"/>
  <c r="E120" i="2"/>
  <c r="E121" i="2"/>
  <c r="I121" i="2" s="1"/>
  <c r="E122" i="2"/>
  <c r="I122" i="2" s="1"/>
  <c r="E123" i="2"/>
  <c r="I123" i="2" s="1"/>
  <c r="E124" i="2"/>
  <c r="I124" i="2" s="1"/>
  <c r="E125" i="2"/>
  <c r="H125" i="2" s="1"/>
  <c r="E126" i="2"/>
  <c r="J126" i="2" s="1"/>
  <c r="E127" i="2"/>
  <c r="I127" i="2" s="1"/>
  <c r="E128" i="2"/>
  <c r="I128" i="2" s="1"/>
  <c r="E129" i="2"/>
  <c r="G129" i="2" s="1"/>
  <c r="E130" i="2"/>
  <c r="H130" i="2" s="1"/>
  <c r="E131" i="2"/>
  <c r="G131" i="2" s="1"/>
  <c r="E132" i="2"/>
  <c r="I132" i="2" s="1"/>
  <c r="E133" i="2"/>
  <c r="I133" i="2" s="1"/>
  <c r="E134" i="2"/>
  <c r="J134" i="2" s="1"/>
  <c r="E135" i="2"/>
  <c r="I135" i="2" s="1"/>
  <c r="E136" i="2"/>
  <c r="F136" i="2" s="1"/>
  <c r="G136" i="2" s="1"/>
  <c r="E137" i="2"/>
  <c r="I137" i="2" s="1"/>
  <c r="E138" i="2"/>
  <c r="G138" i="2" s="1"/>
  <c r="E139" i="2"/>
  <c r="H139" i="2" s="1"/>
  <c r="E140" i="2"/>
  <c r="J140" i="2" s="1"/>
  <c r="E141" i="2"/>
  <c r="H141" i="2" s="1"/>
  <c r="E142" i="2"/>
  <c r="J142" i="2" s="1"/>
  <c r="E143" i="2"/>
  <c r="J143" i="2" s="1"/>
  <c r="E144" i="2"/>
  <c r="G144" i="2" s="1"/>
  <c r="E145" i="2"/>
  <c r="H145" i="2" s="1"/>
  <c r="E146" i="2"/>
  <c r="J146" i="2" s="1"/>
  <c r="E147" i="2"/>
  <c r="J147" i="2" s="1"/>
  <c r="E148" i="2"/>
  <c r="H148" i="2" s="1"/>
  <c r="E149" i="2"/>
  <c r="G149" i="2" s="1"/>
  <c r="E150" i="2"/>
  <c r="J150" i="2" s="1"/>
  <c r="E151" i="2"/>
  <c r="J151" i="2" s="1"/>
  <c r="E152" i="2"/>
  <c r="J152" i="2" s="1"/>
  <c r="E153" i="2"/>
  <c r="I153" i="2" s="1"/>
  <c r="E154" i="2"/>
  <c r="J154" i="2" s="1"/>
  <c r="E155" i="2"/>
  <c r="I155" i="2" s="1"/>
  <c r="E156" i="2"/>
  <c r="H156" i="2" s="1"/>
  <c r="E157" i="2"/>
  <c r="I157" i="2" s="1"/>
  <c r="E158" i="2"/>
  <c r="J158" i="2" s="1"/>
  <c r="E159" i="2"/>
  <c r="J159" i="2" s="1"/>
  <c r="E160" i="2"/>
  <c r="E161" i="2"/>
  <c r="H161" i="2" s="1"/>
  <c r="E162" i="2"/>
  <c r="J162" i="2" s="1"/>
  <c r="E163" i="2"/>
  <c r="G163" i="2" s="1"/>
  <c r="E164" i="2"/>
  <c r="E165" i="2"/>
  <c r="J165" i="2" s="1"/>
  <c r="E166" i="2"/>
  <c r="J166" i="2" s="1"/>
  <c r="E167" i="2"/>
  <c r="J167" i="2" s="1"/>
  <c r="E168" i="2"/>
  <c r="J168" i="2" s="1"/>
  <c r="E169" i="2"/>
  <c r="J169" i="2" s="1"/>
  <c r="E170" i="2"/>
  <c r="J170" i="2" s="1"/>
  <c r="E171" i="2"/>
  <c r="J171" i="2" s="1"/>
  <c r="E172" i="2"/>
  <c r="J172" i="2" s="1"/>
  <c r="E173" i="2"/>
  <c r="I173" i="2" s="1"/>
  <c r="E174" i="2"/>
  <c r="J174" i="2" s="1"/>
  <c r="E175" i="2"/>
  <c r="J175" i="2" s="1"/>
  <c r="E176" i="2"/>
  <c r="E177" i="2"/>
  <c r="G177" i="2" s="1"/>
  <c r="E178" i="2"/>
  <c r="J178" i="2" s="1"/>
  <c r="E179" i="2"/>
  <c r="G179" i="2" s="1"/>
  <c r="E180" i="2"/>
  <c r="E181" i="2"/>
  <c r="I181" i="2" s="1"/>
  <c r="E182" i="2"/>
  <c r="J182" i="2" s="1"/>
  <c r="E183" i="2"/>
  <c r="G183" i="2" s="1"/>
  <c r="E184" i="2"/>
  <c r="I184" i="2" s="1"/>
  <c r="E185" i="2"/>
  <c r="G185" i="2" s="1"/>
  <c r="E186" i="2"/>
  <c r="G186" i="2" s="1"/>
  <c r="E187" i="2"/>
  <c r="I187" i="2" s="1"/>
  <c r="E188" i="2"/>
  <c r="J188" i="2" s="1"/>
  <c r="E189" i="2"/>
  <c r="I189" i="2" s="1"/>
  <c r="E190" i="2"/>
  <c r="J190" i="2" s="1"/>
  <c r="E191" i="2"/>
  <c r="G191" i="2" s="1"/>
  <c r="E192" i="2"/>
  <c r="H192" i="2" s="1"/>
  <c r="E193" i="2"/>
  <c r="I193" i="2" s="1"/>
  <c r="E194" i="2"/>
  <c r="I194" i="2" s="1"/>
  <c r="E195" i="2"/>
  <c r="G195" i="2" s="1"/>
  <c r="E196" i="2"/>
  <c r="H196" i="2" s="1"/>
  <c r="E197" i="2"/>
  <c r="H197" i="2" s="1"/>
  <c r="E198" i="2"/>
  <c r="J198" i="2" s="1"/>
  <c r="E199" i="2"/>
  <c r="H199" i="2" s="1"/>
  <c r="E200" i="2"/>
  <c r="E201" i="2"/>
  <c r="G201" i="2" s="1"/>
  <c r="E202" i="2"/>
  <c r="J202" i="2" s="1"/>
  <c r="E203" i="2"/>
  <c r="H203" i="2" s="1"/>
  <c r="E204" i="2"/>
  <c r="H204" i="2" s="1"/>
  <c r="E205" i="2"/>
  <c r="E206" i="2"/>
  <c r="J206" i="2" s="1"/>
  <c r="E207" i="2"/>
  <c r="J207" i="2" s="1"/>
  <c r="E208" i="2"/>
  <c r="G208" i="2" s="1"/>
  <c r="E209" i="2"/>
  <c r="I209" i="2" s="1"/>
  <c r="E210" i="2"/>
  <c r="J210" i="2" s="1"/>
  <c r="E211" i="2"/>
  <c r="J211" i="2" s="1"/>
  <c r="E212" i="2"/>
  <c r="E213" i="2"/>
  <c r="I213" i="2" s="1"/>
  <c r="E214" i="2"/>
  <c r="J214" i="2" s="1"/>
  <c r="E215" i="2"/>
  <c r="G215" i="2" s="1"/>
  <c r="E216" i="2"/>
  <c r="H216" i="2" s="1"/>
  <c r="E217" i="2"/>
  <c r="H217" i="2" s="1"/>
  <c r="E218" i="2"/>
  <c r="H218" i="2" s="1"/>
  <c r="E219" i="2"/>
  <c r="I219" i="2" s="1"/>
  <c r="E220" i="2"/>
  <c r="J220" i="2" s="1"/>
  <c r="E221" i="2"/>
  <c r="G221" i="2" s="1"/>
  <c r="E222" i="2"/>
  <c r="J222" i="2" s="1"/>
  <c r="E223" i="2"/>
  <c r="G223" i="2" s="1"/>
  <c r="E224" i="2"/>
  <c r="G224" i="2" s="1"/>
  <c r="E225" i="2"/>
  <c r="J225" i="2" s="1"/>
  <c r="E226" i="2"/>
  <c r="J226" i="2" s="1"/>
  <c r="E227" i="2"/>
  <c r="G227" i="2" s="1"/>
  <c r="E228" i="2"/>
  <c r="I228" i="2" s="1"/>
  <c r="E229" i="2"/>
  <c r="J229" i="2" s="1"/>
  <c r="E230" i="2"/>
  <c r="J230" i="2" s="1"/>
  <c r="E231" i="2"/>
  <c r="I231" i="2" s="1"/>
  <c r="E232" i="2"/>
  <c r="G232" i="2" s="1"/>
  <c r="E233" i="2"/>
  <c r="I233" i="2" s="1"/>
  <c r="E234" i="2"/>
  <c r="G234" i="2" s="1"/>
  <c r="E235" i="2"/>
  <c r="J235" i="2" s="1"/>
  <c r="E236" i="2"/>
  <c r="E237" i="2"/>
  <c r="H237" i="2" s="1"/>
  <c r="E238" i="2"/>
  <c r="J238" i="2" s="1"/>
  <c r="E239" i="2"/>
  <c r="G239" i="2" s="1"/>
  <c r="E240" i="2"/>
  <c r="J240" i="2" s="1"/>
  <c r="E241" i="2"/>
  <c r="J241" i="2" s="1"/>
  <c r="E242" i="2"/>
  <c r="H242" i="2" s="1"/>
  <c r="E243" i="2"/>
  <c r="G243" i="2" s="1"/>
  <c r="E244" i="2"/>
  <c r="H244" i="2" s="1"/>
  <c r="E245" i="2"/>
  <c r="I245" i="2" s="1"/>
  <c r="E246" i="2"/>
  <c r="J246" i="2" s="1"/>
  <c r="E247" i="2"/>
  <c r="J247" i="2" s="1"/>
  <c r="E248" i="2"/>
  <c r="F248" i="2" s="1"/>
  <c r="G248" i="2" s="1"/>
  <c r="E249" i="2"/>
  <c r="I249" i="2" s="1"/>
  <c r="E250" i="2"/>
  <c r="H250" i="2" s="1"/>
  <c r="E251" i="2"/>
  <c r="J251" i="2" s="1"/>
  <c r="E252" i="2"/>
  <c r="E253" i="2"/>
  <c r="H253" i="2" s="1"/>
  <c r="E254" i="2"/>
  <c r="J254" i="2" s="1"/>
  <c r="E255" i="2"/>
  <c r="J255" i="2" s="1"/>
  <c r="E256" i="2"/>
  <c r="G256" i="2" s="1"/>
  <c r="E257" i="2"/>
  <c r="G257" i="2" s="1"/>
  <c r="E258" i="2"/>
  <c r="H258" i="2" s="1"/>
  <c r="E259" i="2"/>
  <c r="I259" i="2" s="1"/>
  <c r="E260" i="2"/>
  <c r="J260" i="2" s="1"/>
  <c r="E261" i="2"/>
  <c r="I261" i="2" s="1"/>
  <c r="E262" i="2"/>
  <c r="J262" i="2" s="1"/>
  <c r="E263" i="2"/>
  <c r="J263" i="2" s="1"/>
  <c r="E264" i="2"/>
  <c r="H264" i="2" s="1"/>
  <c r="E265" i="2"/>
  <c r="H265" i="2" s="1"/>
  <c r="E266" i="2"/>
  <c r="J266" i="2" s="1"/>
  <c r="E267" i="2"/>
  <c r="G267" i="2" s="1"/>
  <c r="E268" i="2"/>
  <c r="E269" i="2"/>
  <c r="I269" i="2" s="1"/>
  <c r="E270" i="2"/>
  <c r="J270" i="2" s="1"/>
  <c r="E271" i="2"/>
  <c r="E272" i="2"/>
  <c r="I272" i="2" s="1"/>
  <c r="E273" i="2"/>
  <c r="J273" i="2" s="1"/>
  <c r="E274" i="2"/>
  <c r="J274" i="2" s="1"/>
  <c r="E275" i="2"/>
  <c r="H275" i="2" s="1"/>
  <c r="E276" i="2"/>
  <c r="G276" i="2" s="1"/>
  <c r="E277" i="2"/>
  <c r="J277" i="2" s="1"/>
  <c r="E278" i="2"/>
  <c r="J278" i="2" s="1"/>
  <c r="E279" i="2"/>
  <c r="G279" i="2" s="1"/>
  <c r="E280" i="2"/>
  <c r="E281" i="2"/>
  <c r="I281" i="2" s="1"/>
  <c r="E282" i="2"/>
  <c r="J282" i="2" s="1"/>
  <c r="E283" i="2"/>
  <c r="G283" i="2" s="1"/>
  <c r="E284" i="2"/>
  <c r="H284" i="2" s="1"/>
  <c r="E285" i="2"/>
  <c r="I285" i="2" s="1"/>
  <c r="E286" i="2"/>
  <c r="J286" i="2" s="1"/>
  <c r="E287" i="2"/>
  <c r="H287" i="2" s="1"/>
  <c r="E288" i="2"/>
  <c r="J288" i="2" s="1"/>
  <c r="E289" i="2"/>
  <c r="G289" i="2" s="1"/>
  <c r="E290" i="2"/>
  <c r="E291" i="2"/>
  <c r="E292" i="2"/>
  <c r="G292" i="2" s="1"/>
  <c r="E293" i="2"/>
  <c r="I293" i="2" s="1"/>
  <c r="E294" i="2"/>
  <c r="J294" i="2" s="1"/>
  <c r="E295" i="2"/>
  <c r="J295" i="2" s="1"/>
  <c r="E296" i="2"/>
  <c r="J296" i="2" s="1"/>
  <c r="E297" i="2"/>
  <c r="G297" i="2" s="1"/>
  <c r="E298" i="2"/>
  <c r="J298" i="2" s="1"/>
  <c r="E299" i="2"/>
  <c r="I299" i="2" s="1"/>
  <c r="E300" i="2"/>
  <c r="E301" i="2"/>
  <c r="J301" i="2" s="1"/>
  <c r="E302" i="2"/>
  <c r="E303" i="2"/>
  <c r="G303" i="2" s="1"/>
  <c r="E304" i="2"/>
  <c r="I304" i="2" s="1"/>
  <c r="E305" i="2"/>
  <c r="I305" i="2" s="1"/>
  <c r="E306" i="2"/>
  <c r="E307" i="2"/>
  <c r="H307" i="2" s="1"/>
  <c r="E308" i="2"/>
  <c r="E309" i="2"/>
  <c r="H309" i="2" s="1"/>
  <c r="E310" i="2"/>
  <c r="J310" i="2" s="1"/>
  <c r="E311" i="2"/>
  <c r="H311" i="2" s="1"/>
  <c r="E312" i="2"/>
  <c r="I312" i="2" s="1"/>
  <c r="E313" i="2"/>
  <c r="G313" i="2" s="1"/>
  <c r="E314" i="2"/>
  <c r="E315" i="2"/>
  <c r="I315" i="2" s="1"/>
  <c r="E316" i="2"/>
  <c r="H316" i="2" s="1"/>
  <c r="E317" i="2"/>
  <c r="I317" i="2" s="1"/>
  <c r="E318" i="2"/>
  <c r="J318" i="2" s="1"/>
  <c r="E319" i="2"/>
  <c r="H319" i="2" s="1"/>
  <c r="E320" i="2"/>
  <c r="I320" i="2" s="1"/>
  <c r="E321" i="2"/>
  <c r="H321" i="2" s="1"/>
  <c r="E322" i="2"/>
  <c r="J322" i="2" s="1"/>
  <c r="E323" i="2"/>
  <c r="J323" i="2" s="1"/>
  <c r="E324" i="2"/>
  <c r="J324" i="2" s="1"/>
  <c r="E325" i="2"/>
  <c r="H325" i="2" s="1"/>
  <c r="E326" i="2"/>
  <c r="J326" i="2" s="1"/>
  <c r="E327" i="2"/>
  <c r="H327" i="2" s="1"/>
  <c r="E328" i="2"/>
  <c r="J328" i="2" s="1"/>
  <c r="E329" i="2"/>
  <c r="J329" i="2" s="1"/>
  <c r="E330" i="2"/>
  <c r="J330" i="2" s="1"/>
  <c r="E331" i="2"/>
  <c r="E332" i="2"/>
  <c r="J332" i="2" s="1"/>
  <c r="E333" i="2"/>
  <c r="J333" i="2" s="1"/>
  <c r="E334" i="2"/>
  <c r="E335" i="2"/>
  <c r="I335" i="2" s="1"/>
  <c r="E336" i="2"/>
  <c r="E337" i="2"/>
  <c r="I337" i="2" s="1"/>
  <c r="E338" i="2"/>
  <c r="J338" i="2" s="1"/>
  <c r="E339" i="2"/>
  <c r="H339" i="2" s="1"/>
  <c r="E340" i="2"/>
  <c r="E341" i="2"/>
  <c r="G341" i="2" s="1"/>
  <c r="E342" i="2"/>
  <c r="J342" i="2" s="1"/>
  <c r="E343" i="2"/>
  <c r="E344" i="2"/>
  <c r="J344" i="2" s="1"/>
  <c r="E345" i="2"/>
  <c r="J345" i="2" s="1"/>
  <c r="E346" i="2"/>
  <c r="J346" i="2" s="1"/>
  <c r="E347" i="2"/>
  <c r="J347" i="2" s="1"/>
  <c r="E348" i="2"/>
  <c r="J348" i="2" s="1"/>
  <c r="E349" i="2"/>
  <c r="H349" i="2" s="1"/>
  <c r="E350" i="2"/>
  <c r="J350" i="2" s="1"/>
  <c r="E351" i="2"/>
  <c r="J351" i="2" s="1"/>
  <c r="E352" i="2"/>
  <c r="J352" i="2" s="1"/>
  <c r="E353" i="2"/>
  <c r="J353" i="2" s="1"/>
  <c r="E354" i="2"/>
  <c r="J354" i="2" s="1"/>
  <c r="E355" i="2"/>
  <c r="E356" i="2"/>
  <c r="H356" i="2" s="1"/>
  <c r="E357" i="2"/>
  <c r="J357" i="2" s="1"/>
  <c r="E358" i="2"/>
  <c r="J358" i="2" s="1"/>
  <c r="E359" i="2"/>
  <c r="H359" i="2" s="1"/>
  <c r="E360" i="2"/>
  <c r="J360" i="2" s="1"/>
  <c r="E361" i="2"/>
  <c r="G361" i="2" s="1"/>
  <c r="E362" i="2"/>
  <c r="J362" i="2" s="1"/>
  <c r="E363" i="2"/>
  <c r="J363" i="2" s="1"/>
  <c r="E364" i="2"/>
  <c r="H364" i="2" s="1"/>
  <c r="E365" i="2"/>
  <c r="F365" i="2" s="1"/>
  <c r="G365" i="2" s="1"/>
  <c r="E366" i="2"/>
  <c r="J366" i="2" s="1"/>
  <c r="E367" i="2"/>
  <c r="G367" i="2" s="1"/>
  <c r="E368" i="2"/>
  <c r="E369" i="2"/>
  <c r="I369" i="2" s="1"/>
  <c r="E370" i="2"/>
  <c r="J370" i="2" s="1"/>
  <c r="E371" i="2"/>
  <c r="H371" i="2" s="1"/>
  <c r="E372" i="2"/>
  <c r="H372" i="2" s="1"/>
  <c r="E373" i="2"/>
  <c r="H373" i="2" s="1"/>
  <c r="E374" i="2"/>
  <c r="E375" i="2"/>
  <c r="F375" i="2" s="1"/>
  <c r="G375" i="2" s="1"/>
  <c r="E376" i="2"/>
  <c r="I376" i="2" s="1"/>
  <c r="E377" i="2"/>
  <c r="G377" i="2" s="1"/>
  <c r="E378" i="2"/>
  <c r="J378" i="2" s="1"/>
  <c r="E379" i="2"/>
  <c r="G379" i="2" s="1"/>
  <c r="E380" i="2"/>
  <c r="E381" i="2"/>
  <c r="I381" i="2" s="1"/>
  <c r="E382" i="2"/>
  <c r="J382" i="2" s="1"/>
  <c r="E383" i="2"/>
  <c r="H383" i="2" s="1"/>
  <c r="E384" i="2"/>
  <c r="J384" i="2" s="1"/>
  <c r="E385" i="2"/>
  <c r="J385" i="2" s="1"/>
  <c r="E386" i="2"/>
  <c r="E387" i="2"/>
  <c r="J387" i="2" s="1"/>
  <c r="E388" i="2"/>
  <c r="J388" i="2" s="1"/>
  <c r="E389" i="2"/>
  <c r="J389" i="2" s="1"/>
  <c r="E390" i="2"/>
  <c r="J390" i="2" s="1"/>
  <c r="E391" i="2"/>
  <c r="G391" i="2" s="1"/>
  <c r="E392" i="2"/>
  <c r="E393" i="2"/>
  <c r="J393" i="2" s="1"/>
  <c r="E394" i="2"/>
  <c r="J394" i="2" s="1"/>
  <c r="E395" i="2"/>
  <c r="H395" i="2" s="1"/>
  <c r="E396" i="2"/>
  <c r="E397" i="2"/>
  <c r="J397" i="2" s="1"/>
  <c r="E398" i="2"/>
  <c r="J398" i="2" s="1"/>
  <c r="E399" i="2"/>
  <c r="H399" i="2" s="1"/>
  <c r="E400" i="2"/>
  <c r="J400" i="2" s="1"/>
  <c r="E401" i="2"/>
  <c r="G401" i="2" s="1"/>
  <c r="E402" i="2"/>
  <c r="J402" i="2" s="1"/>
  <c r="E403" i="2"/>
  <c r="J403" i="2" s="1"/>
  <c r="E404" i="2"/>
  <c r="J404" i="2" s="1"/>
  <c r="E405" i="2"/>
  <c r="I405" i="2" s="1"/>
  <c r="E406" i="2"/>
  <c r="J406" i="2" s="1"/>
  <c r="E407" i="2"/>
  <c r="G407" i="2" s="1"/>
  <c r="E408" i="2"/>
  <c r="J408" i="2" s="1"/>
  <c r="E409" i="2"/>
  <c r="G409" i="2" s="1"/>
  <c r="E410" i="2"/>
  <c r="J410" i="2" s="1"/>
  <c r="E411" i="2"/>
  <c r="J411" i="2" s="1"/>
  <c r="E412" i="2"/>
  <c r="E413" i="2"/>
  <c r="I413" i="2" s="1"/>
  <c r="E414" i="2"/>
  <c r="J414" i="2" s="1"/>
  <c r="E415" i="2"/>
  <c r="H415" i="2" s="1"/>
  <c r="E416" i="2"/>
  <c r="J416" i="2" s="1"/>
  <c r="E417" i="2"/>
  <c r="J417" i="2" s="1"/>
  <c r="E418" i="2"/>
  <c r="E419" i="2"/>
  <c r="E420" i="2"/>
  <c r="H420" i="2" s="1"/>
  <c r="E421" i="2"/>
  <c r="J421" i="2" s="1"/>
  <c r="E422" i="2"/>
  <c r="E423" i="2"/>
  <c r="G423" i="2" s="1"/>
  <c r="E424" i="2"/>
  <c r="H424" i="2" s="1"/>
  <c r="E425" i="2"/>
  <c r="I425" i="2" s="1"/>
  <c r="E426" i="2"/>
  <c r="J426" i="2" s="1"/>
  <c r="E427" i="2"/>
  <c r="E428" i="2"/>
  <c r="H428" i="2" s="1"/>
  <c r="E429" i="2"/>
  <c r="H429" i="2" s="1"/>
  <c r="E430" i="2"/>
  <c r="E431" i="2"/>
  <c r="J431" i="2" s="1"/>
  <c r="E432" i="2"/>
  <c r="I432" i="2" s="1"/>
  <c r="E433" i="2"/>
  <c r="H433" i="2" s="1"/>
  <c r="E434" i="2"/>
  <c r="J434" i="2" s="1"/>
  <c r="E435" i="2"/>
  <c r="H435" i="2" s="1"/>
  <c r="E436" i="2"/>
  <c r="G436" i="2" s="1"/>
  <c r="E437" i="2"/>
  <c r="I437" i="2" s="1"/>
  <c r="E438" i="2"/>
  <c r="E439" i="2"/>
  <c r="G439" i="2" s="1"/>
  <c r="E440" i="2"/>
  <c r="G440" i="2" s="1"/>
  <c r="E441" i="2"/>
  <c r="H441" i="2" s="1"/>
  <c r="E442" i="2"/>
  <c r="J442" i="2" s="1"/>
  <c r="E443" i="2"/>
  <c r="E444" i="2"/>
  <c r="J444" i="2" s="1"/>
  <c r="E445" i="2"/>
  <c r="I445" i="2" s="1"/>
  <c r="E446" i="2"/>
  <c r="E447" i="2"/>
  <c r="G447" i="2" s="1"/>
  <c r="E448" i="2"/>
  <c r="H448" i="2" s="1"/>
  <c r="E449" i="2"/>
  <c r="J449" i="2" s="1"/>
  <c r="E450" i="2"/>
  <c r="J450" i="2" s="1"/>
  <c r="E451" i="2"/>
  <c r="I451" i="2" s="1"/>
  <c r="E452" i="2"/>
  <c r="E453" i="2"/>
  <c r="I453" i="2" s="1"/>
  <c r="E454" i="2"/>
  <c r="J454" i="2" s="1"/>
  <c r="E455" i="2"/>
  <c r="H455" i="2" s="1"/>
  <c r="E456" i="2"/>
  <c r="E457" i="2"/>
  <c r="E458" i="2"/>
  <c r="J458" i="2" s="1"/>
  <c r="E459" i="2"/>
  <c r="H459" i="2" s="1"/>
  <c r="E460" i="2"/>
  <c r="H460" i="2" s="1"/>
  <c r="E461" i="2"/>
  <c r="J461" i="2" s="1"/>
  <c r="E462" i="2"/>
  <c r="J462" i="2" s="1"/>
  <c r="E463" i="2"/>
  <c r="E464" i="2"/>
  <c r="J464" i="2" s="1"/>
  <c r="E465" i="2"/>
  <c r="J465" i="2" s="1"/>
  <c r="E466" i="2"/>
  <c r="J466" i="2" s="1"/>
  <c r="E467" i="2"/>
  <c r="J467" i="2" s="1"/>
  <c r="E468" i="2"/>
  <c r="H468" i="2" s="1"/>
  <c r="E469" i="2"/>
  <c r="J469" i="2" s="1"/>
  <c r="E470" i="2"/>
  <c r="J470" i="2" s="1"/>
  <c r="E471" i="2"/>
  <c r="J471" i="2" s="1"/>
  <c r="E472" i="2"/>
  <c r="J472" i="2" s="1"/>
  <c r="E473" i="2"/>
  <c r="J473" i="2" s="1"/>
  <c r="E474" i="2"/>
  <c r="E475" i="2"/>
  <c r="E476" i="2"/>
  <c r="J476" i="2" s="1"/>
  <c r="E477" i="2"/>
  <c r="J477" i="2" s="1"/>
  <c r="E478" i="2"/>
  <c r="J478" i="2" s="1"/>
  <c r="E479" i="2"/>
  <c r="E480" i="2"/>
  <c r="J480" i="2" s="1"/>
  <c r="E481" i="2"/>
  <c r="J481" i="2" s="1"/>
  <c r="E482" i="2"/>
  <c r="J482" i="2" s="1"/>
  <c r="E483" i="2"/>
  <c r="I483" i="2" s="1"/>
  <c r="E484" i="2"/>
  <c r="F484" i="2" s="1"/>
  <c r="G484" i="2" s="1"/>
  <c r="E485" i="2"/>
  <c r="J485" i="2" s="1"/>
  <c r="E486" i="2"/>
  <c r="E487" i="2"/>
  <c r="H487" i="2" s="1"/>
  <c r="E488" i="2"/>
  <c r="G488" i="2" s="1"/>
  <c r="E489" i="2"/>
  <c r="G489" i="2" s="1"/>
  <c r="E490" i="2"/>
  <c r="J490" i="2" s="1"/>
  <c r="E491" i="2"/>
  <c r="J491" i="2" s="1"/>
  <c r="E492" i="2"/>
  <c r="J492" i="2" s="1"/>
  <c r="E493" i="2"/>
  <c r="I493" i="2" s="1"/>
  <c r="E494" i="2"/>
  <c r="J494" i="2" s="1"/>
  <c r="E495" i="2"/>
  <c r="I495" i="2" s="1"/>
  <c r="E496" i="2"/>
  <c r="G496" i="2" s="1"/>
  <c r="E497" i="2"/>
  <c r="H497" i="2" s="1"/>
  <c r="E498" i="2"/>
  <c r="J498" i="2" s="1"/>
  <c r="E499" i="2"/>
  <c r="I499" i="2" s="1"/>
  <c r="E500" i="2"/>
  <c r="J500" i="2" s="1"/>
  <c r="E501" i="2"/>
  <c r="G501" i="2" s="1"/>
  <c r="E502" i="2"/>
  <c r="J502" i="2" s="1"/>
  <c r="E503" i="2"/>
  <c r="G503" i="2" s="1"/>
  <c r="E504" i="2"/>
  <c r="G504" i="2" s="1"/>
  <c r="E505" i="2"/>
  <c r="J505" i="2" s="1"/>
  <c r="E506" i="2"/>
  <c r="E507" i="2"/>
  <c r="I507" i="2" s="1"/>
  <c r="E508" i="2"/>
  <c r="E509" i="2"/>
  <c r="I509" i="2" s="1"/>
  <c r="E510" i="2"/>
  <c r="J510" i="2" s="1"/>
  <c r="E511" i="2"/>
  <c r="J511" i="2" s="1"/>
  <c r="E512" i="2"/>
  <c r="H512" i="2" s="1"/>
  <c r="E513" i="2"/>
  <c r="J513" i="2" s="1"/>
  <c r="E514" i="2"/>
  <c r="J514" i="2" s="1"/>
  <c r="E515" i="2"/>
  <c r="H515" i="2" s="1"/>
  <c r="E516" i="2"/>
  <c r="E517" i="2"/>
  <c r="J517" i="2" s="1"/>
  <c r="E518" i="2"/>
  <c r="J518" i="2" s="1"/>
  <c r="E519" i="2"/>
  <c r="G519" i="2" s="1"/>
  <c r="E520" i="2"/>
  <c r="E521" i="2"/>
  <c r="J521" i="2" s="1"/>
  <c r="E522" i="2"/>
  <c r="J522" i="2" s="1"/>
  <c r="E523" i="2"/>
  <c r="E524" i="2"/>
  <c r="H524" i="2" s="1"/>
  <c r="E525" i="2"/>
  <c r="I525" i="2" s="1"/>
  <c r="E526" i="2"/>
  <c r="J526" i="2" s="1"/>
  <c r="E527" i="2"/>
  <c r="J527" i="2" s="1"/>
  <c r="E528" i="2"/>
  <c r="J528" i="2" s="1"/>
  <c r="E529" i="2"/>
  <c r="J529" i="2" s="1"/>
  <c r="E530" i="2"/>
  <c r="J530" i="2" s="1"/>
  <c r="E531" i="2"/>
  <c r="E532" i="2"/>
  <c r="H532" i="2" s="1"/>
  <c r="E533" i="2"/>
  <c r="J533" i="2" s="1"/>
  <c r="E534" i="2"/>
  <c r="J534" i="2" s="1"/>
  <c r="E535" i="2"/>
  <c r="H535" i="2" s="1"/>
  <c r="E536" i="2"/>
  <c r="J536" i="2" s="1"/>
  <c r="E537" i="2"/>
  <c r="J537" i="2" s="1"/>
  <c r="E538" i="2"/>
  <c r="J538" i="2" s="1"/>
  <c r="E539" i="2"/>
  <c r="J539" i="2" s="1"/>
  <c r="E540" i="2"/>
  <c r="H540" i="2" s="1"/>
  <c r="E541" i="2"/>
  <c r="J541" i="2" s="1"/>
  <c r="E542" i="2"/>
  <c r="J542" i="2" s="1"/>
  <c r="E543" i="2"/>
  <c r="H543" i="2" s="1"/>
  <c r="E544" i="2"/>
  <c r="I544" i="2" s="1"/>
  <c r="E545" i="2"/>
  <c r="I545" i="2" s="1"/>
  <c r="E546" i="2"/>
  <c r="J546" i="2" s="1"/>
  <c r="E547" i="2"/>
  <c r="H547" i="2" s="1"/>
  <c r="E548" i="2"/>
  <c r="G548" i="2" s="1"/>
  <c r="E549" i="2"/>
  <c r="G549" i="2" s="1"/>
  <c r="E550" i="2"/>
  <c r="E551" i="2"/>
  <c r="I551" i="2" s="1"/>
  <c r="E552" i="2"/>
  <c r="H552" i="2" s="1"/>
  <c r="E553" i="2"/>
  <c r="G553" i="2" s="1"/>
  <c r="E554" i="2"/>
  <c r="J554" i="2" s="1"/>
  <c r="E555" i="2"/>
  <c r="I555" i="2" s="1"/>
  <c r="E556" i="2"/>
  <c r="G556" i="2" s="1"/>
  <c r="E557" i="2"/>
  <c r="J557" i="2" s="1"/>
  <c r="E558" i="2"/>
  <c r="E559" i="2"/>
  <c r="G559" i="2" s="1"/>
  <c r="E560" i="2"/>
  <c r="I560" i="2" s="1"/>
  <c r="E561" i="2"/>
  <c r="G561" i="2" s="1"/>
  <c r="E562" i="2"/>
  <c r="J562" i="2" s="1"/>
  <c r="E563" i="2"/>
  <c r="I563" i="2" s="1"/>
  <c r="E564" i="2"/>
  <c r="E565" i="2"/>
  <c r="J565" i="2" s="1"/>
  <c r="E566" i="2"/>
  <c r="E567" i="2"/>
  <c r="G567" i="2" s="1"/>
  <c r="E568" i="2"/>
  <c r="H568" i="2" s="1"/>
  <c r="E569" i="2"/>
  <c r="J569" i="2" s="1"/>
  <c r="E570" i="2"/>
  <c r="J570" i="2" s="1"/>
  <c r="E571" i="2"/>
  <c r="H571" i="2" s="1"/>
  <c r="E572" i="2"/>
  <c r="H572" i="2" s="1"/>
  <c r="E573" i="2"/>
  <c r="H573" i="2" s="1"/>
  <c r="E574" i="2"/>
  <c r="J574" i="2" s="1"/>
  <c r="E575" i="2"/>
  <c r="H575" i="2" s="1"/>
  <c r="E576" i="2"/>
  <c r="H576" i="2" s="1"/>
  <c r="E577" i="2"/>
  <c r="J577" i="2" s="1"/>
  <c r="E578" i="2"/>
  <c r="E579" i="2"/>
  <c r="E580" i="2"/>
  <c r="H580" i="2" s="1"/>
  <c r="E581" i="2"/>
  <c r="I581" i="2" s="1"/>
  <c r="E582" i="2"/>
  <c r="J582" i="2" s="1"/>
  <c r="E583" i="2"/>
  <c r="J583" i="2" s="1"/>
  <c r="E584" i="2"/>
  <c r="J584" i="2" s="1"/>
  <c r="E585" i="2"/>
  <c r="I585" i="2" s="1"/>
  <c r="E586" i="2"/>
  <c r="E587" i="2"/>
  <c r="E588" i="2"/>
  <c r="J588" i="2" s="1"/>
  <c r="E589" i="2"/>
  <c r="H589" i="2" s="1"/>
  <c r="E590" i="2"/>
  <c r="J590" i="2" s="1"/>
  <c r="E591" i="2"/>
  <c r="E592" i="2"/>
  <c r="J592" i="2" s="1"/>
  <c r="E593" i="2"/>
  <c r="J593" i="2" s="1"/>
  <c r="E594" i="2"/>
  <c r="J594" i="2" s="1"/>
  <c r="E595" i="2"/>
  <c r="E596" i="2"/>
  <c r="E597" i="2"/>
  <c r="J597" i="2" s="1"/>
  <c r="E598" i="2"/>
  <c r="J598" i="2" s="1"/>
  <c r="E599" i="2"/>
  <c r="E600" i="2"/>
  <c r="J600" i="2" s="1"/>
  <c r="E601" i="2"/>
  <c r="J601" i="2" s="1"/>
  <c r="E602" i="2"/>
  <c r="J602" i="2" s="1"/>
  <c r="E603" i="2"/>
  <c r="H603" i="2" s="1"/>
  <c r="E604" i="2"/>
  <c r="E605" i="2"/>
  <c r="J605" i="2" s="1"/>
  <c r="E606" i="2"/>
  <c r="J606" i="2" s="1"/>
  <c r="E607" i="2"/>
  <c r="G607" i="2" s="1"/>
  <c r="E608" i="2"/>
  <c r="I608" i="2" s="1"/>
  <c r="E609" i="2"/>
  <c r="J609" i="2" s="1"/>
  <c r="E610" i="2"/>
  <c r="E611" i="2"/>
  <c r="G611" i="2" s="1"/>
  <c r="E612" i="2"/>
  <c r="I612" i="2" s="1"/>
  <c r="E613" i="2"/>
  <c r="J613" i="2" s="1"/>
  <c r="E614" i="2"/>
  <c r="G614" i="2" s="1"/>
  <c r="E615" i="2"/>
  <c r="I615" i="2" s="1"/>
  <c r="E616" i="2"/>
  <c r="E617" i="2"/>
  <c r="J617" i="2" s="1"/>
  <c r="E618" i="2"/>
  <c r="G618" i="2" s="1"/>
  <c r="E619" i="2"/>
  <c r="J619" i="2" s="1"/>
  <c r="E620" i="2"/>
  <c r="J620" i="2" s="1"/>
  <c r="E621" i="2"/>
  <c r="H621" i="2" s="1"/>
  <c r="E622" i="2"/>
  <c r="J622" i="2" s="1"/>
  <c r="E623" i="2"/>
  <c r="G623" i="2" s="1"/>
  <c r="E624" i="2"/>
  <c r="J624" i="2" s="1"/>
  <c r="E625" i="2"/>
  <c r="G625" i="2" s="1"/>
  <c r="E626" i="2"/>
  <c r="J626" i="2" s="1"/>
  <c r="E627" i="2"/>
  <c r="I627" i="2" s="1"/>
  <c r="E628" i="2"/>
  <c r="J628" i="2" s="1"/>
  <c r="E629" i="2"/>
  <c r="I629" i="2" s="1"/>
  <c r="E630" i="2"/>
  <c r="J630" i="2" s="1"/>
  <c r="E631" i="2"/>
  <c r="E632" i="2"/>
  <c r="E633" i="2"/>
  <c r="G633" i="2" s="1"/>
  <c r="E634" i="2"/>
  <c r="J634" i="2" s="1"/>
  <c r="E635" i="2"/>
  <c r="I635" i="2" s="1"/>
  <c r="E636" i="2"/>
  <c r="J636" i="2" s="1"/>
  <c r="E637" i="2"/>
  <c r="J637" i="2" s="1"/>
  <c r="E638" i="2"/>
  <c r="J638" i="2" s="1"/>
  <c r="E639" i="2"/>
  <c r="I639" i="2" s="1"/>
  <c r="E640" i="2"/>
  <c r="J640" i="2" s="1"/>
  <c r="E641" i="2"/>
  <c r="J641" i="2" s="1"/>
  <c r="E642" i="2"/>
  <c r="J642" i="2" s="1"/>
  <c r="E643" i="2"/>
  <c r="E644" i="2"/>
  <c r="H644" i="2" s="1"/>
  <c r="E645" i="2"/>
  <c r="J645" i="2" s="1"/>
  <c r="E646" i="2"/>
  <c r="J646" i="2" s="1"/>
  <c r="E647" i="2"/>
  <c r="I647" i="2" s="1"/>
  <c r="E648" i="2"/>
  <c r="J648" i="2" s="1"/>
  <c r="E649" i="2"/>
  <c r="J649" i="2" s="1"/>
  <c r="E650" i="2"/>
  <c r="J650" i="2" s="1"/>
  <c r="E651" i="2"/>
  <c r="G651" i="2" s="1"/>
  <c r="E652" i="2"/>
  <c r="E653" i="2"/>
  <c r="J653" i="2" s="1"/>
  <c r="E654" i="2"/>
  <c r="J654" i="2" s="1"/>
  <c r="E655" i="2"/>
  <c r="E656" i="2"/>
  <c r="J656" i="2" s="1"/>
  <c r="E657" i="2"/>
  <c r="G657" i="2" s="1"/>
  <c r="E658" i="2"/>
  <c r="J658" i="2" s="1"/>
  <c r="E659" i="2"/>
  <c r="H659" i="2" s="1"/>
  <c r="E660" i="2"/>
  <c r="J660" i="2" s="1"/>
  <c r="E661" i="2"/>
  <c r="I661" i="2" s="1"/>
  <c r="E662" i="2"/>
  <c r="F662" i="2" s="1"/>
  <c r="G662" i="2" s="1"/>
  <c r="E663" i="2"/>
  <c r="G663" i="2" s="1"/>
  <c r="E664" i="2"/>
  <c r="E665" i="2"/>
  <c r="I665" i="2" s="1"/>
  <c r="E666" i="2"/>
  <c r="G666" i="2" s="1"/>
  <c r="E667" i="2"/>
  <c r="G667" i="2" s="1"/>
  <c r="E668" i="2"/>
  <c r="G668" i="2" s="1"/>
  <c r="E669" i="2"/>
  <c r="I669" i="2" s="1"/>
  <c r="E670" i="2"/>
  <c r="J670" i="2" s="1"/>
  <c r="E671" i="2"/>
  <c r="I671" i="2" s="1"/>
  <c r="E672" i="2"/>
  <c r="G672" i="2" s="1"/>
  <c r="E673" i="2"/>
  <c r="G673" i="2" s="1"/>
  <c r="E674" i="2"/>
  <c r="G674" i="2" s="1"/>
  <c r="E675" i="2"/>
  <c r="J675" i="2" s="1"/>
  <c r="E676" i="2"/>
  <c r="J676" i="2" s="1"/>
  <c r="E677" i="2"/>
  <c r="J677" i="2" s="1"/>
  <c r="E678" i="2"/>
  <c r="J678" i="2" s="1"/>
  <c r="E679" i="2"/>
  <c r="G679" i="2" s="1"/>
  <c r="E680" i="2"/>
  <c r="I680" i="2" s="1"/>
  <c r="E681" i="2"/>
  <c r="J681" i="2" s="1"/>
  <c r="E682" i="2"/>
  <c r="J682" i="2" s="1"/>
  <c r="E683" i="2"/>
  <c r="I683" i="2" s="1"/>
  <c r="E684" i="2"/>
  <c r="J684" i="2" s="1"/>
  <c r="E685" i="2"/>
  <c r="J685" i="2" s="1"/>
  <c r="E686" i="2"/>
  <c r="J686" i="2" s="1"/>
  <c r="E687" i="2"/>
  <c r="E688" i="2"/>
  <c r="J688" i="2" s="1"/>
  <c r="E689" i="2"/>
  <c r="J689" i="2" s="1"/>
  <c r="E690" i="2"/>
  <c r="J690" i="2" s="1"/>
  <c r="E691" i="2"/>
  <c r="I691" i="2" s="1"/>
  <c r="E692" i="2"/>
  <c r="J692" i="2" s="1"/>
  <c r="E693" i="2"/>
  <c r="J693" i="2" s="1"/>
  <c r="E694" i="2"/>
  <c r="J694" i="2" s="1"/>
  <c r="E695" i="2"/>
  <c r="E696" i="2"/>
  <c r="J696" i="2" s="1"/>
  <c r="E697" i="2"/>
  <c r="J697" i="2" s="1"/>
  <c r="E698" i="2"/>
  <c r="H698" i="2" s="1"/>
  <c r="E699" i="2"/>
  <c r="I699" i="2" s="1"/>
  <c r="E700" i="2"/>
  <c r="J700" i="2" s="1"/>
  <c r="E701" i="2"/>
  <c r="G701" i="2" s="1"/>
  <c r="E702" i="2"/>
  <c r="J702" i="2" s="1"/>
  <c r="E703" i="2"/>
  <c r="H703" i="2" s="1"/>
  <c r="E704" i="2"/>
  <c r="J704" i="2" s="1"/>
  <c r="E705" i="2"/>
  <c r="J705" i="2" s="1"/>
  <c r="E706" i="2"/>
  <c r="J706" i="2" s="1"/>
  <c r="E707" i="2"/>
  <c r="I707" i="2" s="1"/>
  <c r="E708" i="2"/>
  <c r="H708" i="2" s="1"/>
  <c r="E709" i="2"/>
  <c r="J709" i="2" s="1"/>
  <c r="E710" i="2"/>
  <c r="J710" i="2" s="1"/>
  <c r="E711" i="2"/>
  <c r="E712" i="2"/>
  <c r="J712" i="2" s="1"/>
  <c r="E713" i="2"/>
  <c r="J713" i="2" s="1"/>
  <c r="E714" i="2"/>
  <c r="J714" i="2" s="1"/>
  <c r="E715" i="2"/>
  <c r="G715" i="2" s="1"/>
  <c r="E716" i="2"/>
  <c r="H716" i="2" s="1"/>
  <c r="E717" i="2"/>
  <c r="H717" i="2" s="1"/>
  <c r="E718" i="2"/>
  <c r="J718" i="2" s="1"/>
  <c r="E719" i="2"/>
  <c r="G719" i="2" s="1"/>
  <c r="E720" i="2"/>
  <c r="J720" i="2" s="1"/>
  <c r="E721" i="2"/>
  <c r="J721" i="2" s="1"/>
  <c r="E2" i="2"/>
  <c r="H2" i="2" s="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B721" i="2"/>
  <c r="B720" i="2"/>
  <c r="B719" i="2"/>
  <c r="B718" i="2"/>
  <c r="B717" i="2"/>
  <c r="B716" i="2"/>
  <c r="B715" i="2"/>
  <c r="B714" i="2"/>
  <c r="B713" i="2"/>
  <c r="B712" i="2"/>
  <c r="B711" i="2"/>
  <c r="B710" i="2"/>
  <c r="B709" i="2"/>
  <c r="B708" i="2"/>
  <c r="B707" i="2"/>
  <c r="B706" i="2"/>
  <c r="B705" i="2"/>
  <c r="B704" i="2"/>
  <c r="B703" i="2"/>
  <c r="B702" i="2"/>
  <c r="B661" i="2"/>
  <c r="B660" i="2"/>
  <c r="B659" i="2"/>
  <c r="B658" i="2"/>
  <c r="B657" i="2"/>
  <c r="B656" i="2"/>
  <c r="B655" i="2"/>
  <c r="B654" i="2"/>
  <c r="B653" i="2"/>
  <c r="B652" i="2"/>
  <c r="B651" i="2"/>
  <c r="B650" i="2"/>
  <c r="B649" i="2"/>
  <c r="B648" i="2"/>
  <c r="B647" i="2"/>
  <c r="B646" i="2"/>
  <c r="B645" i="2"/>
  <c r="B644" i="2"/>
  <c r="B643" i="2"/>
  <c r="B642" i="2"/>
  <c r="B601" i="2"/>
  <c r="B600" i="2"/>
  <c r="B599" i="2"/>
  <c r="B598" i="2"/>
  <c r="B597" i="2"/>
  <c r="B596" i="2"/>
  <c r="B595" i="2"/>
  <c r="B594" i="2"/>
  <c r="B593" i="2"/>
  <c r="B592" i="2"/>
  <c r="B591" i="2"/>
  <c r="B590" i="2"/>
  <c r="B589" i="2"/>
  <c r="B588" i="2"/>
  <c r="B587" i="2"/>
  <c r="B586" i="2"/>
  <c r="B585" i="2"/>
  <c r="B584" i="2"/>
  <c r="B583" i="2"/>
  <c r="B582" i="2"/>
  <c r="B541" i="2"/>
  <c r="B540" i="2"/>
  <c r="B539" i="2"/>
  <c r="B538" i="2"/>
  <c r="B537" i="2"/>
  <c r="B536" i="2"/>
  <c r="B535" i="2"/>
  <c r="B534" i="2"/>
  <c r="B533" i="2"/>
  <c r="B532" i="2"/>
  <c r="B531" i="2"/>
  <c r="B530" i="2"/>
  <c r="B529" i="2"/>
  <c r="B528" i="2"/>
  <c r="B527" i="2"/>
  <c r="B526" i="2"/>
  <c r="B525" i="2"/>
  <c r="B524" i="2"/>
  <c r="B523" i="2"/>
  <c r="B522" i="2"/>
  <c r="B481" i="2"/>
  <c r="B480" i="2"/>
  <c r="B479" i="2"/>
  <c r="B478" i="2"/>
  <c r="B477" i="2"/>
  <c r="B476" i="2"/>
  <c r="B475" i="2"/>
  <c r="B474" i="2"/>
  <c r="B473" i="2"/>
  <c r="B472" i="2"/>
  <c r="B471" i="2"/>
  <c r="B470" i="2"/>
  <c r="B469" i="2"/>
  <c r="B468" i="2"/>
  <c r="B467" i="2"/>
  <c r="B466" i="2"/>
  <c r="B465" i="2"/>
  <c r="B464" i="2"/>
  <c r="B463" i="2"/>
  <c r="B462" i="2"/>
  <c r="B421" i="2"/>
  <c r="B420" i="2"/>
  <c r="B419" i="2"/>
  <c r="B418" i="2"/>
  <c r="B417" i="2"/>
  <c r="B416" i="2"/>
  <c r="B415" i="2"/>
  <c r="B414" i="2"/>
  <c r="B413" i="2"/>
  <c r="B412" i="2"/>
  <c r="B411" i="2"/>
  <c r="B410" i="2"/>
  <c r="B409" i="2"/>
  <c r="B408" i="2"/>
  <c r="B407" i="2"/>
  <c r="B406" i="2"/>
  <c r="B405" i="2"/>
  <c r="B404" i="2"/>
  <c r="B403" i="2"/>
  <c r="B402" i="2"/>
  <c r="B361" i="2"/>
  <c r="B360" i="2"/>
  <c r="B359" i="2"/>
  <c r="B358" i="2"/>
  <c r="B357" i="2"/>
  <c r="B356" i="2"/>
  <c r="B355" i="2"/>
  <c r="B354" i="2"/>
  <c r="B353" i="2"/>
  <c r="B352" i="2"/>
  <c r="B351" i="2"/>
  <c r="B350" i="2"/>
  <c r="B349" i="2"/>
  <c r="B348" i="2"/>
  <c r="B347" i="2"/>
  <c r="B346" i="2"/>
  <c r="B345" i="2"/>
  <c r="B344" i="2"/>
  <c r="B343" i="2"/>
  <c r="B342" i="2"/>
  <c r="B301" i="2"/>
  <c r="B300" i="2"/>
  <c r="B299" i="2"/>
  <c r="B298" i="2"/>
  <c r="B297" i="2"/>
  <c r="B296" i="2"/>
  <c r="B295" i="2"/>
  <c r="B294" i="2"/>
  <c r="B293" i="2"/>
  <c r="B292" i="2"/>
  <c r="B291" i="2"/>
  <c r="B290" i="2"/>
  <c r="B289" i="2"/>
  <c r="B288" i="2"/>
  <c r="B287" i="2"/>
  <c r="B286" i="2"/>
  <c r="B285" i="2"/>
  <c r="B284" i="2"/>
  <c r="B283" i="2"/>
  <c r="B282" i="2"/>
  <c r="B241" i="2"/>
  <c r="B240" i="2"/>
  <c r="B239" i="2"/>
  <c r="B238" i="2"/>
  <c r="B237" i="2"/>
  <c r="B236" i="2"/>
  <c r="B235" i="2"/>
  <c r="B234" i="2"/>
  <c r="B233" i="2"/>
  <c r="B232" i="2"/>
  <c r="B231" i="2"/>
  <c r="B230" i="2"/>
  <c r="B229" i="2"/>
  <c r="B228" i="2"/>
  <c r="B227" i="2"/>
  <c r="B226" i="2"/>
  <c r="B225" i="2"/>
  <c r="B224" i="2"/>
  <c r="B223" i="2"/>
  <c r="B222" i="2"/>
  <c r="B181" i="2"/>
  <c r="B180" i="2"/>
  <c r="B179" i="2"/>
  <c r="B178" i="2"/>
  <c r="B177" i="2"/>
  <c r="B176" i="2"/>
  <c r="B175" i="2"/>
  <c r="B174" i="2"/>
  <c r="B173" i="2"/>
  <c r="B172" i="2"/>
  <c r="B171" i="2"/>
  <c r="B170" i="2"/>
  <c r="B169" i="2"/>
  <c r="B168" i="2"/>
  <c r="B167" i="2"/>
  <c r="B166" i="2"/>
  <c r="B165" i="2"/>
  <c r="B164" i="2"/>
  <c r="B163" i="2"/>
  <c r="B162" i="2"/>
  <c r="B121" i="2"/>
  <c r="B120" i="2"/>
  <c r="B119" i="2"/>
  <c r="B118" i="2"/>
  <c r="B117" i="2"/>
  <c r="B116" i="2"/>
  <c r="B115" i="2"/>
  <c r="B114" i="2"/>
  <c r="B113" i="2"/>
  <c r="B112" i="2"/>
  <c r="B111" i="2"/>
  <c r="B110" i="2"/>
  <c r="B109" i="2"/>
  <c r="B108" i="2"/>
  <c r="B107" i="2"/>
  <c r="B106" i="2"/>
  <c r="B105" i="2"/>
  <c r="B104" i="2"/>
  <c r="B103" i="2"/>
  <c r="B102" i="2"/>
  <c r="B61" i="2"/>
  <c r="B60" i="2"/>
  <c r="B59" i="2"/>
  <c r="B58" i="2"/>
  <c r="B57" i="2"/>
  <c r="B56" i="2"/>
  <c r="B55" i="2"/>
  <c r="B54" i="2"/>
  <c r="B53" i="2"/>
  <c r="B52" i="2"/>
  <c r="B51" i="2"/>
  <c r="B50" i="2"/>
  <c r="B49" i="2"/>
  <c r="B48" i="2"/>
  <c r="B47" i="2"/>
  <c r="B46" i="2"/>
  <c r="B45" i="2"/>
  <c r="B44" i="2"/>
  <c r="B43" i="2"/>
  <c r="B42" i="2"/>
  <c r="B701" i="2"/>
  <c r="B700" i="2"/>
  <c r="B699" i="2"/>
  <c r="B698" i="2"/>
  <c r="B697" i="2"/>
  <c r="B696" i="2"/>
  <c r="B695" i="2"/>
  <c r="B694" i="2"/>
  <c r="B693" i="2"/>
  <c r="B692" i="2"/>
  <c r="B691" i="2"/>
  <c r="B690" i="2"/>
  <c r="B689" i="2"/>
  <c r="B688" i="2"/>
  <c r="B687" i="2"/>
  <c r="B686" i="2"/>
  <c r="B685" i="2"/>
  <c r="B684" i="2"/>
  <c r="B683" i="2"/>
  <c r="B682" i="2"/>
  <c r="B641" i="2"/>
  <c r="B640" i="2"/>
  <c r="B639" i="2"/>
  <c r="B638" i="2"/>
  <c r="B637" i="2"/>
  <c r="B636" i="2"/>
  <c r="B635" i="2"/>
  <c r="B634" i="2"/>
  <c r="B633" i="2"/>
  <c r="B632" i="2"/>
  <c r="B631" i="2"/>
  <c r="B630" i="2"/>
  <c r="B629" i="2"/>
  <c r="B628" i="2"/>
  <c r="B627" i="2"/>
  <c r="B626" i="2"/>
  <c r="B625" i="2"/>
  <c r="B624" i="2"/>
  <c r="B623" i="2"/>
  <c r="B622" i="2"/>
  <c r="B581" i="2"/>
  <c r="B580" i="2"/>
  <c r="B579" i="2"/>
  <c r="B578" i="2"/>
  <c r="B577" i="2"/>
  <c r="B576" i="2"/>
  <c r="B575" i="2"/>
  <c r="B574" i="2"/>
  <c r="B573" i="2"/>
  <c r="B572" i="2"/>
  <c r="B571" i="2"/>
  <c r="B570" i="2"/>
  <c r="B569" i="2"/>
  <c r="B568" i="2"/>
  <c r="B567" i="2"/>
  <c r="B566" i="2"/>
  <c r="B565" i="2"/>
  <c r="B564" i="2"/>
  <c r="B563" i="2"/>
  <c r="B562" i="2"/>
  <c r="B521" i="2"/>
  <c r="B520" i="2"/>
  <c r="B519" i="2"/>
  <c r="B518" i="2"/>
  <c r="B517" i="2"/>
  <c r="B516" i="2"/>
  <c r="B515" i="2"/>
  <c r="B514" i="2"/>
  <c r="B513" i="2"/>
  <c r="B512" i="2"/>
  <c r="B511" i="2"/>
  <c r="B510" i="2"/>
  <c r="B509" i="2"/>
  <c r="B508" i="2"/>
  <c r="B507" i="2"/>
  <c r="B506" i="2"/>
  <c r="B505" i="2"/>
  <c r="B504" i="2"/>
  <c r="B503" i="2"/>
  <c r="B502" i="2"/>
  <c r="B461" i="2"/>
  <c r="B460" i="2"/>
  <c r="B459" i="2"/>
  <c r="B458" i="2"/>
  <c r="B457" i="2"/>
  <c r="B456" i="2"/>
  <c r="B455" i="2"/>
  <c r="B454" i="2"/>
  <c r="B453" i="2"/>
  <c r="B452" i="2"/>
  <c r="B451" i="2"/>
  <c r="B450" i="2"/>
  <c r="B449" i="2"/>
  <c r="B448" i="2"/>
  <c r="B447" i="2"/>
  <c r="B446" i="2"/>
  <c r="B445" i="2"/>
  <c r="B444" i="2"/>
  <c r="B443" i="2"/>
  <c r="B442" i="2"/>
  <c r="B401" i="2"/>
  <c r="B400" i="2"/>
  <c r="B399" i="2"/>
  <c r="B398" i="2"/>
  <c r="B397" i="2"/>
  <c r="B396" i="2"/>
  <c r="B395" i="2"/>
  <c r="B394" i="2"/>
  <c r="B393" i="2"/>
  <c r="B392" i="2"/>
  <c r="B391" i="2"/>
  <c r="B390" i="2"/>
  <c r="B389" i="2"/>
  <c r="B388" i="2"/>
  <c r="B387" i="2"/>
  <c r="B386" i="2"/>
  <c r="B385" i="2"/>
  <c r="B384" i="2"/>
  <c r="B383" i="2"/>
  <c r="B382" i="2"/>
  <c r="B341" i="2"/>
  <c r="B340" i="2"/>
  <c r="B339" i="2"/>
  <c r="B338" i="2"/>
  <c r="B337" i="2"/>
  <c r="B336" i="2"/>
  <c r="B335" i="2"/>
  <c r="B334" i="2"/>
  <c r="B333" i="2"/>
  <c r="B332" i="2"/>
  <c r="B331" i="2"/>
  <c r="B330" i="2"/>
  <c r="B329" i="2"/>
  <c r="B328" i="2"/>
  <c r="B327" i="2"/>
  <c r="B326" i="2"/>
  <c r="B325" i="2"/>
  <c r="B324" i="2"/>
  <c r="B323" i="2"/>
  <c r="B322" i="2"/>
  <c r="B281" i="2"/>
  <c r="B280" i="2"/>
  <c r="B279" i="2"/>
  <c r="B278" i="2"/>
  <c r="B277" i="2"/>
  <c r="B276" i="2"/>
  <c r="B275" i="2"/>
  <c r="B274" i="2"/>
  <c r="B273" i="2"/>
  <c r="B272" i="2"/>
  <c r="B271" i="2"/>
  <c r="B270" i="2"/>
  <c r="B269" i="2"/>
  <c r="B268" i="2"/>
  <c r="B267" i="2"/>
  <c r="B266" i="2"/>
  <c r="B265" i="2"/>
  <c r="B264" i="2"/>
  <c r="B263" i="2"/>
  <c r="B262" i="2"/>
  <c r="B221" i="2"/>
  <c r="B220" i="2"/>
  <c r="B219" i="2"/>
  <c r="B218" i="2"/>
  <c r="B217" i="2"/>
  <c r="B216" i="2"/>
  <c r="B215" i="2"/>
  <c r="B214" i="2"/>
  <c r="B213" i="2"/>
  <c r="B212" i="2"/>
  <c r="B211" i="2"/>
  <c r="B210" i="2"/>
  <c r="B209" i="2"/>
  <c r="B208" i="2"/>
  <c r="B207" i="2"/>
  <c r="B206" i="2"/>
  <c r="B205" i="2"/>
  <c r="B204" i="2"/>
  <c r="B203" i="2"/>
  <c r="B202" i="2"/>
  <c r="B161" i="2"/>
  <c r="B160" i="2"/>
  <c r="B159" i="2"/>
  <c r="B158" i="2"/>
  <c r="B157" i="2"/>
  <c r="B156" i="2"/>
  <c r="B155" i="2"/>
  <c r="B154" i="2"/>
  <c r="B153" i="2"/>
  <c r="B152" i="2"/>
  <c r="B151" i="2"/>
  <c r="B150" i="2"/>
  <c r="B149" i="2"/>
  <c r="B148" i="2"/>
  <c r="B147" i="2"/>
  <c r="B146" i="2"/>
  <c r="B145" i="2"/>
  <c r="B144" i="2"/>
  <c r="B143" i="2"/>
  <c r="B142" i="2"/>
  <c r="B101" i="2"/>
  <c r="B100" i="2"/>
  <c r="B99" i="2"/>
  <c r="B98" i="2"/>
  <c r="B97" i="2"/>
  <c r="B96" i="2"/>
  <c r="B95" i="2"/>
  <c r="B94" i="2"/>
  <c r="B93" i="2"/>
  <c r="B92" i="2"/>
  <c r="B91" i="2"/>
  <c r="B90" i="2"/>
  <c r="B89" i="2"/>
  <c r="B88" i="2"/>
  <c r="B87" i="2"/>
  <c r="B86" i="2"/>
  <c r="B85" i="2"/>
  <c r="B84" i="2"/>
  <c r="B83" i="2"/>
  <c r="B82" i="2"/>
  <c r="B41" i="2"/>
  <c r="B40" i="2"/>
  <c r="B39" i="2"/>
  <c r="B38" i="2"/>
  <c r="B37" i="2"/>
  <c r="B36" i="2"/>
  <c r="B35" i="2"/>
  <c r="B34" i="2"/>
  <c r="B33" i="2"/>
  <c r="B32" i="2"/>
  <c r="B31" i="2"/>
  <c r="B30" i="2"/>
  <c r="B29" i="2"/>
  <c r="B28" i="2"/>
  <c r="B27" i="2"/>
  <c r="B26" i="2"/>
  <c r="B25" i="2"/>
  <c r="B24" i="2"/>
  <c r="B23" i="2"/>
  <c r="B22" i="2"/>
  <c r="B681" i="2"/>
  <c r="B680" i="2"/>
  <c r="B679" i="2"/>
  <c r="B678" i="2"/>
  <c r="B677" i="2"/>
  <c r="B676" i="2"/>
  <c r="B675" i="2"/>
  <c r="B674" i="2"/>
  <c r="B673" i="2"/>
  <c r="B672" i="2"/>
  <c r="B671" i="2"/>
  <c r="B670" i="2"/>
  <c r="B669" i="2"/>
  <c r="B668" i="2"/>
  <c r="B667" i="2"/>
  <c r="B666" i="2"/>
  <c r="B665" i="2"/>
  <c r="B664" i="2"/>
  <c r="B663" i="2"/>
  <c r="B662" i="2"/>
  <c r="B621" i="2"/>
  <c r="B620" i="2"/>
  <c r="B619" i="2"/>
  <c r="B618" i="2"/>
  <c r="B617" i="2"/>
  <c r="B616" i="2"/>
  <c r="B615" i="2"/>
  <c r="B614" i="2"/>
  <c r="B613" i="2"/>
  <c r="B612" i="2"/>
  <c r="B611" i="2"/>
  <c r="B610" i="2"/>
  <c r="B609" i="2"/>
  <c r="B608" i="2"/>
  <c r="B607" i="2"/>
  <c r="B606" i="2"/>
  <c r="B605" i="2"/>
  <c r="B604" i="2"/>
  <c r="B603" i="2"/>
  <c r="B602" i="2"/>
  <c r="B561" i="2"/>
  <c r="B560" i="2"/>
  <c r="B559" i="2"/>
  <c r="B558" i="2"/>
  <c r="B557" i="2"/>
  <c r="B556" i="2"/>
  <c r="B555" i="2"/>
  <c r="B554" i="2"/>
  <c r="B553" i="2"/>
  <c r="B552" i="2"/>
  <c r="B551" i="2"/>
  <c r="B550" i="2"/>
  <c r="B549" i="2"/>
  <c r="B548" i="2"/>
  <c r="B547" i="2"/>
  <c r="B546" i="2"/>
  <c r="B545" i="2"/>
  <c r="B544" i="2"/>
  <c r="B543" i="2"/>
  <c r="B542" i="2"/>
  <c r="B501" i="2"/>
  <c r="B500" i="2"/>
  <c r="B499" i="2"/>
  <c r="B498" i="2"/>
  <c r="B497" i="2"/>
  <c r="B496" i="2"/>
  <c r="B495" i="2"/>
  <c r="B494" i="2"/>
  <c r="B493" i="2"/>
  <c r="B492" i="2"/>
  <c r="B491" i="2"/>
  <c r="B490" i="2"/>
  <c r="B489" i="2"/>
  <c r="B488" i="2"/>
  <c r="B487" i="2"/>
  <c r="B486" i="2"/>
  <c r="B485" i="2"/>
  <c r="B484" i="2"/>
  <c r="B483" i="2"/>
  <c r="B482" i="2"/>
  <c r="B441" i="2"/>
  <c r="B440" i="2"/>
  <c r="B439" i="2"/>
  <c r="B438" i="2"/>
  <c r="B437" i="2"/>
  <c r="B436" i="2"/>
  <c r="B435" i="2"/>
  <c r="B434" i="2"/>
  <c r="B433" i="2"/>
  <c r="B432" i="2"/>
  <c r="B431" i="2"/>
  <c r="B430" i="2"/>
  <c r="B429" i="2"/>
  <c r="B428" i="2"/>
  <c r="B427" i="2"/>
  <c r="B426" i="2"/>
  <c r="B425" i="2"/>
  <c r="B424" i="2"/>
  <c r="B423" i="2"/>
  <c r="B422" i="2"/>
  <c r="B381" i="2"/>
  <c r="B380" i="2"/>
  <c r="B379" i="2"/>
  <c r="B378" i="2"/>
  <c r="B377" i="2"/>
  <c r="B376" i="2"/>
  <c r="B375" i="2"/>
  <c r="B374" i="2"/>
  <c r="B373" i="2"/>
  <c r="B372" i="2"/>
  <c r="B371" i="2"/>
  <c r="B370" i="2"/>
  <c r="B369" i="2"/>
  <c r="B368" i="2"/>
  <c r="B367" i="2"/>
  <c r="B366" i="2"/>
  <c r="B365" i="2"/>
  <c r="B364" i="2"/>
  <c r="B363" i="2"/>
  <c r="B362" i="2"/>
  <c r="B321" i="2"/>
  <c r="B320" i="2"/>
  <c r="B319" i="2"/>
  <c r="B318" i="2"/>
  <c r="B317" i="2"/>
  <c r="B316" i="2"/>
  <c r="B315" i="2"/>
  <c r="B314" i="2"/>
  <c r="B313" i="2"/>
  <c r="B312" i="2"/>
  <c r="B311" i="2"/>
  <c r="B310" i="2"/>
  <c r="B309" i="2"/>
  <c r="B308" i="2"/>
  <c r="B307" i="2"/>
  <c r="B306" i="2"/>
  <c r="B305" i="2"/>
  <c r="B304" i="2"/>
  <c r="B303" i="2"/>
  <c r="B302" i="2"/>
  <c r="B261" i="2"/>
  <c r="B260" i="2"/>
  <c r="B259" i="2"/>
  <c r="B258" i="2"/>
  <c r="B257" i="2"/>
  <c r="B256" i="2"/>
  <c r="B255" i="2"/>
  <c r="B254" i="2"/>
  <c r="B253" i="2"/>
  <c r="B252" i="2"/>
  <c r="B251" i="2"/>
  <c r="B250" i="2"/>
  <c r="B249" i="2"/>
  <c r="B248" i="2"/>
  <c r="B247" i="2"/>
  <c r="B246" i="2"/>
  <c r="B245" i="2"/>
  <c r="B244" i="2"/>
  <c r="B243" i="2"/>
  <c r="B242" i="2"/>
  <c r="B201" i="2"/>
  <c r="B200" i="2"/>
  <c r="B199" i="2"/>
  <c r="B198" i="2"/>
  <c r="B197" i="2"/>
  <c r="B196" i="2"/>
  <c r="B195" i="2"/>
  <c r="B194" i="2"/>
  <c r="B193" i="2"/>
  <c r="B192" i="2"/>
  <c r="B191" i="2"/>
  <c r="B190" i="2"/>
  <c r="B189" i="2"/>
  <c r="B188" i="2"/>
  <c r="B187" i="2"/>
  <c r="B186" i="2"/>
  <c r="B185" i="2"/>
  <c r="B184" i="2"/>
  <c r="B183" i="2"/>
  <c r="B182" i="2"/>
  <c r="B141" i="2"/>
  <c r="B140" i="2"/>
  <c r="B139" i="2"/>
  <c r="B138" i="2"/>
  <c r="B137" i="2"/>
  <c r="B136" i="2"/>
  <c r="B135" i="2"/>
  <c r="B134" i="2"/>
  <c r="B133" i="2"/>
  <c r="B132" i="2"/>
  <c r="B131" i="2"/>
  <c r="B130" i="2"/>
  <c r="B129" i="2"/>
  <c r="B128" i="2"/>
  <c r="B127" i="2"/>
  <c r="B126" i="2"/>
  <c r="B125" i="2"/>
  <c r="B124" i="2"/>
  <c r="B123" i="2"/>
  <c r="B122" i="2"/>
  <c r="B81" i="2"/>
  <c r="B80" i="2"/>
  <c r="B79" i="2"/>
  <c r="B78" i="2"/>
  <c r="B77" i="2"/>
  <c r="B76" i="2"/>
  <c r="B75" i="2"/>
  <c r="B74" i="2"/>
  <c r="B73" i="2"/>
  <c r="B72" i="2"/>
  <c r="B71" i="2"/>
  <c r="B70" i="2"/>
  <c r="B69" i="2"/>
  <c r="B68" i="2"/>
  <c r="B67" i="2"/>
  <c r="B66" i="2"/>
  <c r="B65" i="2"/>
  <c r="B64" i="2"/>
  <c r="B63" i="2"/>
  <c r="B62" i="2"/>
  <c r="B21" i="2"/>
  <c r="B20" i="2"/>
  <c r="B19" i="2"/>
  <c r="B18" i="2"/>
  <c r="B17" i="2"/>
  <c r="B16" i="2"/>
  <c r="B15" i="2"/>
  <c r="B14" i="2"/>
  <c r="B13" i="2"/>
  <c r="B12" i="2"/>
  <c r="B11" i="2"/>
  <c r="B10" i="2"/>
  <c r="B9" i="2"/>
  <c r="B8" i="2"/>
  <c r="B7" i="2"/>
  <c r="B6" i="2"/>
  <c r="B5" i="2"/>
  <c r="B4" i="2"/>
  <c r="B3" i="2"/>
  <c r="B2" i="2"/>
  <c r="E29" i="4" l="1"/>
  <c r="E31" i="4" s="1"/>
  <c r="Q9" i="1"/>
  <c r="H76" i="2"/>
  <c r="G376" i="2"/>
  <c r="H36" i="2"/>
  <c r="H384" i="2"/>
  <c r="H256" i="2"/>
  <c r="G576" i="2"/>
  <c r="J320" i="2"/>
  <c r="J108" i="2"/>
  <c r="I80" i="2"/>
  <c r="I4" i="2"/>
  <c r="H312" i="2"/>
  <c r="H548" i="2"/>
  <c r="I168" i="2"/>
  <c r="J264" i="2"/>
  <c r="G20" i="2"/>
  <c r="K20" i="2" s="1"/>
  <c r="H320" i="2"/>
  <c r="J75" i="2"/>
  <c r="J139" i="2"/>
  <c r="J99" i="2"/>
  <c r="J227" i="2"/>
  <c r="G68" i="2"/>
  <c r="G184" i="2"/>
  <c r="I260" i="2"/>
  <c r="F424" i="2"/>
  <c r="G424" i="2" s="1"/>
  <c r="H680" i="2"/>
  <c r="I204" i="2"/>
  <c r="J448" i="2"/>
  <c r="J216" i="2"/>
  <c r="J116" i="2"/>
  <c r="J376" i="2"/>
  <c r="J191" i="2"/>
  <c r="J127" i="2"/>
  <c r="J215" i="2"/>
  <c r="J163" i="2"/>
  <c r="J267" i="2"/>
  <c r="J203" i="2"/>
  <c r="I496" i="2"/>
  <c r="I620" i="2"/>
  <c r="H248" i="2"/>
  <c r="H488" i="2"/>
  <c r="H388" i="2"/>
  <c r="I580" i="2"/>
  <c r="G172" i="2"/>
  <c r="J572" i="2"/>
  <c r="J440" i="2"/>
  <c r="J312" i="2"/>
  <c r="J248" i="2"/>
  <c r="J68" i="2"/>
  <c r="H68" i="2"/>
  <c r="H304" i="2"/>
  <c r="I548" i="2"/>
  <c r="G612" i="2"/>
  <c r="G76" i="2"/>
  <c r="I192" i="2"/>
  <c r="G312" i="2"/>
  <c r="H496" i="2"/>
  <c r="I556" i="2"/>
  <c r="H620" i="2"/>
  <c r="G36" i="2"/>
  <c r="K36" i="2" s="1"/>
  <c r="I460" i="2"/>
  <c r="J232" i="2"/>
  <c r="J156" i="2"/>
  <c r="G205" i="2"/>
  <c r="J205" i="2"/>
  <c r="H676" i="2"/>
  <c r="I676" i="2"/>
  <c r="G676" i="2"/>
  <c r="H616" i="2"/>
  <c r="I616" i="2"/>
  <c r="H608" i="2"/>
  <c r="G608" i="2"/>
  <c r="H596" i="2"/>
  <c r="J596" i="2"/>
  <c r="H520" i="2"/>
  <c r="J520" i="2"/>
  <c r="H504" i="2"/>
  <c r="I504" i="2"/>
  <c r="I492" i="2"/>
  <c r="H492" i="2"/>
  <c r="I484" i="2"/>
  <c r="H484" i="2"/>
  <c r="J484" i="2"/>
  <c r="J452" i="2"/>
  <c r="H452" i="2"/>
  <c r="I436" i="2"/>
  <c r="H436" i="2"/>
  <c r="J392" i="2"/>
  <c r="H392" i="2"/>
  <c r="G372" i="2"/>
  <c r="I372" i="2"/>
  <c r="H272" i="2"/>
  <c r="J272" i="2"/>
  <c r="J268" i="2"/>
  <c r="H268" i="2"/>
  <c r="I252" i="2"/>
  <c r="G252" i="2"/>
  <c r="I236" i="2"/>
  <c r="J236" i="2"/>
  <c r="F200" i="2"/>
  <c r="G200" i="2" s="1"/>
  <c r="J200" i="2"/>
  <c r="H104" i="2"/>
  <c r="J104" i="2"/>
  <c r="I104" i="2"/>
  <c r="H652" i="2"/>
  <c r="J652" i="2"/>
  <c r="H604" i="2"/>
  <c r="J604" i="2"/>
  <c r="H564" i="2"/>
  <c r="J564" i="2"/>
  <c r="H516" i="2"/>
  <c r="I516" i="2"/>
  <c r="H508" i="2"/>
  <c r="J508" i="2"/>
  <c r="G508" i="2"/>
  <c r="H500" i="2"/>
  <c r="I500" i="2"/>
  <c r="H432" i="2"/>
  <c r="J432" i="2"/>
  <c r="J412" i="2"/>
  <c r="H412" i="2"/>
  <c r="J396" i="2"/>
  <c r="H396" i="2"/>
  <c r="I368" i="2"/>
  <c r="J368" i="2"/>
  <c r="F364" i="2"/>
  <c r="G364" i="2" s="1"/>
  <c r="I364" i="2"/>
  <c r="G308" i="2"/>
  <c r="I308" i="2"/>
  <c r="H280" i="2"/>
  <c r="G280" i="2"/>
  <c r="I244" i="2"/>
  <c r="G244" i="2"/>
  <c r="J244" i="2"/>
  <c r="H212" i="2"/>
  <c r="J212" i="2"/>
  <c r="H208" i="2"/>
  <c r="I208" i="2"/>
  <c r="I196" i="2"/>
  <c r="J196" i="2"/>
  <c r="F196" i="2"/>
  <c r="G196" i="2" s="1"/>
  <c r="H188" i="2"/>
  <c r="F188" i="2"/>
  <c r="G188" i="2" s="1"/>
  <c r="I180" i="2"/>
  <c r="J180" i="2"/>
  <c r="G164" i="2"/>
  <c r="J164" i="2"/>
  <c r="J144" i="2"/>
  <c r="I144" i="2"/>
  <c r="H144" i="2"/>
  <c r="I136" i="2"/>
  <c r="J136" i="2"/>
  <c r="G132" i="2"/>
  <c r="J132" i="2"/>
  <c r="H132" i="2"/>
  <c r="G124" i="2"/>
  <c r="H124" i="2"/>
  <c r="J124" i="2"/>
  <c r="J100" i="2"/>
  <c r="H100" i="2"/>
  <c r="G100" i="2"/>
  <c r="I92" i="2"/>
  <c r="H92" i="2"/>
  <c r="J72" i="2"/>
  <c r="H72" i="2"/>
  <c r="G64" i="2"/>
  <c r="I64" i="2"/>
  <c r="H40" i="2"/>
  <c r="J40" i="2"/>
  <c r="G40" i="2"/>
  <c r="H32" i="2"/>
  <c r="I32" i="2"/>
  <c r="G32" i="2"/>
  <c r="H24" i="2"/>
  <c r="I24" i="2"/>
  <c r="K24" i="2" s="1"/>
  <c r="G16" i="2"/>
  <c r="I16" i="2"/>
  <c r="H8" i="2"/>
  <c r="I8" i="2"/>
  <c r="K8" i="2" s="1"/>
  <c r="F12" i="2"/>
  <c r="G12" i="2" s="1"/>
  <c r="K12" i="2" s="1"/>
  <c r="H20" i="2"/>
  <c r="G72" i="2"/>
  <c r="G80" i="2"/>
  <c r="G128" i="2"/>
  <c r="H136" i="2"/>
  <c r="I188" i="2"/>
  <c r="H200" i="2"/>
  <c r="I248" i="2"/>
  <c r="F260" i="2"/>
  <c r="G260" i="2" s="1"/>
  <c r="G368" i="2"/>
  <c r="H376" i="2"/>
  <c r="H440" i="2"/>
  <c r="I488" i="2"/>
  <c r="G500" i="2"/>
  <c r="F604" i="2"/>
  <c r="G604" i="2" s="1"/>
  <c r="H612" i="2"/>
  <c r="H668" i="2"/>
  <c r="H28" i="2"/>
  <c r="I40" i="2"/>
  <c r="I280" i="2"/>
  <c r="H400" i="2"/>
  <c r="I512" i="2"/>
  <c r="I112" i="2"/>
  <c r="G344" i="2"/>
  <c r="J540" i="2"/>
  <c r="J468" i="2"/>
  <c r="J228" i="2"/>
  <c r="J204" i="2"/>
  <c r="J129" i="2"/>
  <c r="J76" i="2"/>
  <c r="I457" i="2"/>
  <c r="J457" i="2"/>
  <c r="H664" i="2"/>
  <c r="F664" i="2"/>
  <c r="G664" i="2" s="1"/>
  <c r="J632" i="2"/>
  <c r="H632" i="2"/>
  <c r="H560" i="2"/>
  <c r="G560" i="2"/>
  <c r="I552" i="2"/>
  <c r="J552" i="2"/>
  <c r="G552" i="2"/>
  <c r="H456" i="2"/>
  <c r="J456" i="2"/>
  <c r="G428" i="2"/>
  <c r="I428" i="2"/>
  <c r="I424" i="2"/>
  <c r="J424" i="2"/>
  <c r="G380" i="2"/>
  <c r="I380" i="2"/>
  <c r="J340" i="2"/>
  <c r="H340" i="2"/>
  <c r="H336" i="2"/>
  <c r="J336" i="2"/>
  <c r="I336" i="2"/>
  <c r="G316" i="2"/>
  <c r="I316" i="2"/>
  <c r="F304" i="2"/>
  <c r="G304" i="2" s="1"/>
  <c r="J304" i="2"/>
  <c r="J300" i="2"/>
  <c r="I300" i="2"/>
  <c r="H276" i="2"/>
  <c r="I276" i="2"/>
  <c r="J256" i="2"/>
  <c r="I256" i="2"/>
  <c r="H184" i="2"/>
  <c r="J184" i="2"/>
  <c r="J176" i="2"/>
  <c r="H176" i="2"/>
  <c r="H160" i="2"/>
  <c r="G160" i="2"/>
  <c r="G148" i="2"/>
  <c r="J148" i="2"/>
  <c r="F140" i="2"/>
  <c r="G140" i="2" s="1"/>
  <c r="H140" i="2"/>
  <c r="J120" i="2"/>
  <c r="I120" i="2"/>
  <c r="J96" i="2"/>
  <c r="G96" i="2"/>
  <c r="G88" i="2"/>
  <c r="H88" i="2"/>
  <c r="J88" i="2"/>
  <c r="I84" i="2"/>
  <c r="H84" i="2"/>
  <c r="H60" i="2"/>
  <c r="J60" i="2"/>
  <c r="H56" i="2"/>
  <c r="J56" i="2"/>
  <c r="G56" i="2"/>
  <c r="H52" i="2"/>
  <c r="I52" i="2"/>
  <c r="H44" i="2"/>
  <c r="G44" i="2"/>
  <c r="J44" i="2"/>
  <c r="G4" i="2"/>
  <c r="H12" i="2"/>
  <c r="H64" i="2"/>
  <c r="I72" i="2"/>
  <c r="H80" i="2"/>
  <c r="H128" i="2"/>
  <c r="I140" i="2"/>
  <c r="G192" i="2"/>
  <c r="I200" i="2"/>
  <c r="H252" i="2"/>
  <c r="H260" i="2"/>
  <c r="H308" i="2"/>
  <c r="G320" i="2"/>
  <c r="H368" i="2"/>
  <c r="H380" i="2"/>
  <c r="G432" i="2"/>
  <c r="I440" i="2"/>
  <c r="G492" i="2"/>
  <c r="H544" i="2"/>
  <c r="H556" i="2"/>
  <c r="I604" i="2"/>
  <c r="G620" i="2"/>
  <c r="K620" i="2" s="1"/>
  <c r="H672" i="2"/>
  <c r="I28" i="2"/>
  <c r="K28" i="2" s="1"/>
  <c r="G84" i="2"/>
  <c r="I96" i="2"/>
  <c r="I148" i="2"/>
  <c r="H220" i="2"/>
  <c r="G336" i="2"/>
  <c r="H444" i="2"/>
  <c r="G516" i="2"/>
  <c r="G52" i="2"/>
  <c r="I348" i="2"/>
  <c r="J616" i="2"/>
  <c r="J532" i="2"/>
  <c r="J460" i="2"/>
  <c r="J280" i="2"/>
  <c r="J252" i="2"/>
  <c r="J92" i="2"/>
  <c r="J49" i="2"/>
  <c r="J157" i="2"/>
  <c r="J137" i="2"/>
  <c r="J97" i="2"/>
  <c r="J45" i="2"/>
  <c r="J708" i="2"/>
  <c r="J257" i="2"/>
  <c r="J177" i="2"/>
  <c r="J145" i="2"/>
  <c r="J77" i="2"/>
  <c r="J265" i="2"/>
  <c r="J185" i="2"/>
  <c r="J173" i="2"/>
  <c r="J269" i="2"/>
  <c r="J221" i="2"/>
  <c r="J193" i="2"/>
  <c r="J141" i="2"/>
  <c r="J101" i="2"/>
  <c r="J93" i="2"/>
  <c r="J65" i="2"/>
  <c r="J249" i="2"/>
  <c r="J237" i="2"/>
  <c r="J209" i="2"/>
  <c r="J201" i="2"/>
  <c r="J161" i="2"/>
  <c r="J121" i="2"/>
  <c r="J109" i="2"/>
  <c r="J81" i="2"/>
  <c r="J73" i="2"/>
  <c r="J41" i="2"/>
  <c r="J261" i="2"/>
  <c r="J253" i="2"/>
  <c r="J245" i="2"/>
  <c r="J213" i="2"/>
  <c r="J197" i="2"/>
  <c r="J189" i="2"/>
  <c r="J181" i="2"/>
  <c r="J149" i="2"/>
  <c r="J133" i="2"/>
  <c r="J125" i="2"/>
  <c r="J117" i="2"/>
  <c r="J85" i="2"/>
  <c r="J69" i="2"/>
  <c r="J233" i="2"/>
  <c r="J217" i="2"/>
  <c r="J153" i="2"/>
  <c r="J89" i="2"/>
  <c r="I131" i="2"/>
  <c r="G171" i="2"/>
  <c r="J243" i="2"/>
  <c r="J231" i="2"/>
  <c r="J219" i="2"/>
  <c r="J179" i="2"/>
  <c r="J155" i="2"/>
  <c r="J115" i="2"/>
  <c r="J91" i="2"/>
  <c r="J79" i="2"/>
  <c r="J51" i="2"/>
  <c r="J39" i="2"/>
  <c r="G75" i="2"/>
  <c r="H187" i="2"/>
  <c r="J259" i="2"/>
  <c r="J223" i="2"/>
  <c r="J195" i="2"/>
  <c r="J183" i="2"/>
  <c r="J131" i="2"/>
  <c r="J107" i="2"/>
  <c r="J95" i="2"/>
  <c r="J55" i="2"/>
  <c r="J43" i="2"/>
  <c r="I71" i="2"/>
  <c r="J239" i="2"/>
  <c r="J199" i="2"/>
  <c r="J187" i="2"/>
  <c r="J135" i="2"/>
  <c r="J123" i="2"/>
  <c r="J59" i="2"/>
  <c r="J47" i="2"/>
  <c r="I668" i="2"/>
  <c r="G680" i="2"/>
  <c r="G520" i="2"/>
  <c r="H624" i="2"/>
  <c r="I720" i="2"/>
  <c r="J644" i="2"/>
  <c r="J580" i="2"/>
  <c r="J556" i="2"/>
  <c r="K556" i="2" s="1"/>
  <c r="J516" i="2"/>
  <c r="J496" i="2"/>
  <c r="J436" i="2"/>
  <c r="J420" i="2"/>
  <c r="J372" i="2"/>
  <c r="J356" i="2"/>
  <c r="J308" i="2"/>
  <c r="J292" i="2"/>
  <c r="J276" i="2"/>
  <c r="J224" i="2"/>
  <c r="J208" i="2"/>
  <c r="J192" i="2"/>
  <c r="J160" i="2"/>
  <c r="J128" i="2"/>
  <c r="J64" i="2"/>
  <c r="J668" i="2"/>
  <c r="J612" i="2"/>
  <c r="J568" i="2"/>
  <c r="J548" i="2"/>
  <c r="J524" i="2"/>
  <c r="J504" i="2"/>
  <c r="J488" i="2"/>
  <c r="J428" i="2"/>
  <c r="J380" i="2"/>
  <c r="J364" i="2"/>
  <c r="J316" i="2"/>
  <c r="J284" i="2"/>
  <c r="J258" i="2"/>
  <c r="J250" i="2"/>
  <c r="J242" i="2"/>
  <c r="J234" i="2"/>
  <c r="J218" i="2"/>
  <c r="J194" i="2"/>
  <c r="J186" i="2"/>
  <c r="J138" i="2"/>
  <c r="J130" i="2"/>
  <c r="J122" i="2"/>
  <c r="J106" i="2"/>
  <c r="J74" i="2"/>
  <c r="J66" i="2"/>
  <c r="J58" i="2"/>
  <c r="J38" i="2"/>
  <c r="J716" i="2"/>
  <c r="J672" i="2"/>
  <c r="J608" i="2"/>
  <c r="J576" i="2"/>
  <c r="J560" i="2"/>
  <c r="J544" i="2"/>
  <c r="J512" i="2"/>
  <c r="I333" i="2"/>
  <c r="I359" i="2"/>
  <c r="J509" i="2"/>
  <c r="J341" i="2"/>
  <c r="J293" i="2"/>
  <c r="J573" i="2"/>
  <c r="J549" i="2"/>
  <c r="J501" i="2"/>
  <c r="J489" i="2"/>
  <c r="J409" i="2"/>
  <c r="J349" i="2"/>
  <c r="J313" i="2"/>
  <c r="J625" i="2"/>
  <c r="J581" i="2"/>
  <c r="J441" i="2"/>
  <c r="J429" i="2"/>
  <c r="J381" i="2"/>
  <c r="J365" i="2"/>
  <c r="J285" i="2"/>
  <c r="G95" i="2"/>
  <c r="G339" i="2"/>
  <c r="J375" i="2"/>
  <c r="I183" i="2"/>
  <c r="I139" i="2"/>
  <c r="I435" i="2"/>
  <c r="H615" i="2"/>
  <c r="H267" i="2"/>
  <c r="H335" i="2"/>
  <c r="G395" i="2"/>
  <c r="H135" i="2"/>
  <c r="I491" i="2"/>
  <c r="G451" i="2"/>
  <c r="H627" i="2"/>
  <c r="H227" i="2"/>
  <c r="I673" i="2"/>
  <c r="J673" i="2"/>
  <c r="J657" i="2"/>
  <c r="J553" i="2"/>
  <c r="J545" i="2"/>
  <c r="J497" i="2"/>
  <c r="J453" i="2"/>
  <c r="J445" i="2"/>
  <c r="J373" i="2"/>
  <c r="J317" i="2"/>
  <c r="J309" i="2"/>
  <c r="I569" i="2"/>
  <c r="J629" i="2"/>
  <c r="J585" i="2"/>
  <c r="J561" i="2"/>
  <c r="J433" i="2"/>
  <c r="J405" i="2"/>
  <c r="J377" i="2"/>
  <c r="J361" i="2"/>
  <c r="J325" i="2"/>
  <c r="J297" i="2"/>
  <c r="J289" i="2"/>
  <c r="J281" i="2"/>
  <c r="I95" i="2"/>
  <c r="J559" i="2"/>
  <c r="I75" i="2"/>
  <c r="H679" i="2"/>
  <c r="I203" i="2"/>
  <c r="H451" i="2"/>
  <c r="G571" i="2"/>
  <c r="G307" i="2"/>
  <c r="G311" i="2"/>
  <c r="H315" i="2"/>
  <c r="G319" i="2"/>
  <c r="G363" i="2"/>
  <c r="H499" i="2"/>
  <c r="G543" i="2"/>
  <c r="H559" i="2"/>
  <c r="G603" i="2"/>
  <c r="I607" i="2"/>
  <c r="F675" i="2"/>
  <c r="G675" i="2" s="1"/>
  <c r="H215" i="2"/>
  <c r="I327" i="2"/>
  <c r="G347" i="2"/>
  <c r="I527" i="2"/>
  <c r="J311" i="2"/>
  <c r="I611" i="2"/>
  <c r="H91" i="2"/>
  <c r="H131" i="2"/>
  <c r="G135" i="2"/>
  <c r="K135" i="2" s="1"/>
  <c r="G139" i="2"/>
  <c r="H183" i="2"/>
  <c r="G187" i="2"/>
  <c r="K187" i="2" s="1"/>
  <c r="I311" i="2"/>
  <c r="I439" i="2"/>
  <c r="I559" i="2"/>
  <c r="I215" i="2"/>
  <c r="K215" i="2" s="1"/>
  <c r="H563" i="2"/>
  <c r="G627" i="2"/>
  <c r="I583" i="2"/>
  <c r="J439" i="2"/>
  <c r="H619" i="2"/>
  <c r="I663" i="2"/>
  <c r="H671" i="2"/>
  <c r="I675" i="2"/>
  <c r="I503" i="2"/>
  <c r="H299" i="2"/>
  <c r="J299" i="2"/>
  <c r="H611" i="2"/>
  <c r="F615" i="2"/>
  <c r="G615" i="2" s="1"/>
  <c r="I467" i="2"/>
  <c r="J283" i="2"/>
  <c r="G631" i="2"/>
  <c r="I631" i="2"/>
  <c r="H631" i="2"/>
  <c r="I623" i="2"/>
  <c r="J623" i="2"/>
  <c r="H623" i="2"/>
  <c r="I619" i="2"/>
  <c r="G619" i="2"/>
  <c r="H607" i="2"/>
  <c r="J607" i="2"/>
  <c r="I603" i="2"/>
  <c r="J603" i="2"/>
  <c r="G599" i="2"/>
  <c r="H599" i="2"/>
  <c r="J595" i="2"/>
  <c r="H595" i="2"/>
  <c r="J591" i="2"/>
  <c r="G591" i="2"/>
  <c r="I587" i="2"/>
  <c r="J587" i="2"/>
  <c r="I579" i="2"/>
  <c r="H579" i="2"/>
  <c r="G579" i="2"/>
  <c r="I575" i="2"/>
  <c r="G575" i="2"/>
  <c r="J575" i="2"/>
  <c r="I571" i="2"/>
  <c r="J571" i="2"/>
  <c r="I567" i="2"/>
  <c r="H567" i="2"/>
  <c r="F555" i="2"/>
  <c r="G555" i="2" s="1"/>
  <c r="H555" i="2"/>
  <c r="J555" i="2"/>
  <c r="H551" i="2"/>
  <c r="G551" i="2"/>
  <c r="I547" i="2"/>
  <c r="G547" i="2"/>
  <c r="I543" i="2"/>
  <c r="J543" i="2"/>
  <c r="G539" i="2"/>
  <c r="I539" i="2"/>
  <c r="H539" i="2"/>
  <c r="J531" i="2"/>
  <c r="G531" i="2"/>
  <c r="I523" i="2"/>
  <c r="J523" i="2"/>
  <c r="I519" i="2"/>
  <c r="H519" i="2"/>
  <c r="G515" i="2"/>
  <c r="I515" i="2"/>
  <c r="G511" i="2"/>
  <c r="I511" i="2"/>
  <c r="H511" i="2"/>
  <c r="G507" i="2"/>
  <c r="J507" i="2"/>
  <c r="H507" i="2"/>
  <c r="J499" i="2"/>
  <c r="G499" i="2"/>
  <c r="F495" i="2"/>
  <c r="G495" i="2" s="1"/>
  <c r="H495" i="2"/>
  <c r="J495" i="2"/>
  <c r="H491" i="2"/>
  <c r="G491" i="2"/>
  <c r="I487" i="2"/>
  <c r="G487" i="2"/>
  <c r="G483" i="2"/>
  <c r="H483" i="2"/>
  <c r="H479" i="2"/>
  <c r="J479" i="2"/>
  <c r="I475" i="2"/>
  <c r="J475" i="2"/>
  <c r="H475" i="2"/>
  <c r="G475" i="2"/>
  <c r="G463" i="2"/>
  <c r="H463" i="2"/>
  <c r="J463" i="2"/>
  <c r="G459" i="2"/>
  <c r="J459" i="2"/>
  <c r="I459" i="2"/>
  <c r="I455" i="2"/>
  <c r="G455" i="2"/>
  <c r="I447" i="2"/>
  <c r="J447" i="2"/>
  <c r="H447" i="2"/>
  <c r="I443" i="2"/>
  <c r="H443" i="2"/>
  <c r="G443" i="2"/>
  <c r="J443" i="2"/>
  <c r="I431" i="2"/>
  <c r="H431" i="2"/>
  <c r="G427" i="2"/>
  <c r="J427" i="2"/>
  <c r="H427" i="2"/>
  <c r="H423" i="2"/>
  <c r="J423" i="2"/>
  <c r="J419" i="2"/>
  <c r="H419" i="2"/>
  <c r="I415" i="2"/>
  <c r="J415" i="2"/>
  <c r="I411" i="2"/>
  <c r="H411" i="2"/>
  <c r="G411" i="2"/>
  <c r="I399" i="2"/>
  <c r="J399" i="2"/>
  <c r="G399" i="2"/>
  <c r="I395" i="2"/>
  <c r="J395" i="2"/>
  <c r="I391" i="2"/>
  <c r="H391" i="2"/>
  <c r="J391" i="2"/>
  <c r="I387" i="2"/>
  <c r="H387" i="2"/>
  <c r="G387" i="2"/>
  <c r="I383" i="2"/>
  <c r="G383" i="2"/>
  <c r="J383" i="2"/>
  <c r="I379" i="2"/>
  <c r="J379" i="2"/>
  <c r="I375" i="2"/>
  <c r="H375" i="2"/>
  <c r="G371" i="2"/>
  <c r="J371" i="2"/>
  <c r="I371" i="2"/>
  <c r="H367" i="2"/>
  <c r="I367" i="2"/>
  <c r="J367" i="2"/>
  <c r="I363" i="2"/>
  <c r="H363" i="2"/>
  <c r="G359" i="2"/>
  <c r="J359" i="2"/>
  <c r="I355" i="2"/>
  <c r="J355" i="2"/>
  <c r="I351" i="2"/>
  <c r="G351" i="2"/>
  <c r="J343" i="2"/>
  <c r="H343" i="2"/>
  <c r="I339" i="2"/>
  <c r="J339" i="2"/>
  <c r="G335" i="2"/>
  <c r="J335" i="2"/>
  <c r="G331" i="2"/>
  <c r="J331" i="2"/>
  <c r="H331" i="2"/>
  <c r="G327" i="2"/>
  <c r="J327" i="2"/>
  <c r="I323" i="2"/>
  <c r="H323" i="2"/>
  <c r="G323" i="2"/>
  <c r="J319" i="2"/>
  <c r="I319" i="2"/>
  <c r="F315" i="2"/>
  <c r="G315" i="2" s="1"/>
  <c r="J315" i="2"/>
  <c r="I307" i="2"/>
  <c r="J307" i="2"/>
  <c r="H303" i="2"/>
  <c r="J303" i="2"/>
  <c r="I291" i="2"/>
  <c r="J291" i="2"/>
  <c r="G287" i="2"/>
  <c r="I287" i="2"/>
  <c r="J287" i="2"/>
  <c r="J279" i="2"/>
  <c r="I279" i="2"/>
  <c r="H279" i="2"/>
  <c r="G275" i="2"/>
  <c r="J275" i="2"/>
  <c r="I275" i="2"/>
  <c r="G271" i="2"/>
  <c r="I271" i="2"/>
  <c r="H271" i="2"/>
  <c r="J271" i="2"/>
  <c r="G263" i="2"/>
  <c r="I263" i="2"/>
  <c r="H259" i="2"/>
  <c r="G259" i="2"/>
  <c r="H255" i="2"/>
  <c r="I255" i="2"/>
  <c r="H251" i="2"/>
  <c r="I251" i="2"/>
  <c r="F251" i="2"/>
  <c r="G251" i="2" s="1"/>
  <c r="I247" i="2"/>
  <c r="H247" i="2"/>
  <c r="G247" i="2"/>
  <c r="I243" i="2"/>
  <c r="H243" i="2"/>
  <c r="G219" i="2"/>
  <c r="H219" i="2"/>
  <c r="G211" i="2"/>
  <c r="H211" i="2"/>
  <c r="H207" i="2"/>
  <c r="G207" i="2"/>
  <c r="G199" i="2"/>
  <c r="I199" i="2"/>
  <c r="H195" i="2"/>
  <c r="I195" i="2"/>
  <c r="I191" i="2"/>
  <c r="H191" i="2"/>
  <c r="H159" i="2"/>
  <c r="I159" i="2"/>
  <c r="G159" i="2"/>
  <c r="H155" i="2"/>
  <c r="G155" i="2"/>
  <c r="G151" i="2"/>
  <c r="I151" i="2"/>
  <c r="H147" i="2"/>
  <c r="I147" i="2"/>
  <c r="I143" i="2"/>
  <c r="H143" i="2"/>
  <c r="G143" i="2"/>
  <c r="G127" i="2"/>
  <c r="H127" i="2"/>
  <c r="H123" i="2"/>
  <c r="F123" i="2"/>
  <c r="G123" i="2" s="1"/>
  <c r="H99" i="2"/>
  <c r="I99" i="2"/>
  <c r="K99" i="2" s="1"/>
  <c r="H87" i="2"/>
  <c r="G87" i="2"/>
  <c r="I83" i="2"/>
  <c r="G83" i="2"/>
  <c r="I79" i="2"/>
  <c r="H79" i="2"/>
  <c r="H71" i="2"/>
  <c r="G71" i="2"/>
  <c r="G67" i="2"/>
  <c r="I67" i="2"/>
  <c r="H67" i="2"/>
  <c r="H63" i="2"/>
  <c r="I63" i="2"/>
  <c r="G63" i="2"/>
  <c r="I55" i="2"/>
  <c r="H55" i="2"/>
  <c r="G51" i="2"/>
  <c r="I51" i="2"/>
  <c r="I39" i="2"/>
  <c r="G39" i="2"/>
  <c r="H35" i="2"/>
  <c r="I35" i="2"/>
  <c r="G35" i="2"/>
  <c r="I31" i="2"/>
  <c r="H31" i="2"/>
  <c r="G31" i="2"/>
  <c r="G27" i="2"/>
  <c r="I27" i="2"/>
  <c r="H23" i="2"/>
  <c r="I23" i="2"/>
  <c r="I19" i="2"/>
  <c r="H19" i="2"/>
  <c r="F19" i="2"/>
  <c r="G19" i="2" s="1"/>
  <c r="I15" i="2"/>
  <c r="K15" i="2" s="1"/>
  <c r="H15" i="2"/>
  <c r="F11" i="2"/>
  <c r="G11" i="2" s="1"/>
  <c r="I11" i="2"/>
  <c r="H7" i="2"/>
  <c r="I7" i="2"/>
  <c r="I3" i="2"/>
  <c r="K3" i="2" s="1"/>
  <c r="H3" i="2"/>
  <c r="J661" i="2"/>
  <c r="J621" i="2"/>
  <c r="J589" i="2"/>
  <c r="J525" i="2"/>
  <c r="J493" i="2"/>
  <c r="J437" i="2"/>
  <c r="J425" i="2"/>
  <c r="J413" i="2"/>
  <c r="J401" i="2"/>
  <c r="J369" i="2"/>
  <c r="J337" i="2"/>
  <c r="J321" i="2"/>
  <c r="J305" i="2"/>
  <c r="J627" i="2"/>
  <c r="J611" i="2"/>
  <c r="J579" i="2"/>
  <c r="J563" i="2"/>
  <c r="J547" i="2"/>
  <c r="J515" i="2"/>
  <c r="J483" i="2"/>
  <c r="J451" i="2"/>
  <c r="J435" i="2"/>
  <c r="J662" i="2"/>
  <c r="J631" i="2"/>
  <c r="J615" i="2"/>
  <c r="J599" i="2"/>
  <c r="J567" i="2"/>
  <c r="J551" i="2"/>
  <c r="J535" i="2"/>
  <c r="J519" i="2"/>
  <c r="J503" i="2"/>
  <c r="J487" i="2"/>
  <c r="J455" i="2"/>
  <c r="J407" i="2"/>
  <c r="G586" i="2"/>
  <c r="J586" i="2"/>
  <c r="G578" i="2"/>
  <c r="J578" i="2"/>
  <c r="G446" i="2"/>
  <c r="J446" i="2"/>
  <c r="H438" i="2"/>
  <c r="J438" i="2"/>
  <c r="G418" i="2"/>
  <c r="J418" i="2"/>
  <c r="I374" i="2"/>
  <c r="J374" i="2"/>
  <c r="I334" i="2"/>
  <c r="J334" i="2"/>
  <c r="G314" i="2"/>
  <c r="J314" i="2"/>
  <c r="G306" i="2"/>
  <c r="J306" i="2"/>
  <c r="F302" i="2"/>
  <c r="G302" i="2" s="1"/>
  <c r="J302" i="2"/>
  <c r="G290" i="2"/>
  <c r="J290" i="2"/>
  <c r="I550" i="2"/>
  <c r="J550" i="2"/>
  <c r="H506" i="2"/>
  <c r="J506" i="2"/>
  <c r="G486" i="2"/>
  <c r="J486" i="2"/>
  <c r="G386" i="2"/>
  <c r="J386" i="2"/>
  <c r="G610" i="2"/>
  <c r="J610" i="2"/>
  <c r="H430" i="2"/>
  <c r="J430" i="2"/>
  <c r="J618" i="2"/>
  <c r="J614" i="2"/>
  <c r="H566" i="2"/>
  <c r="J566" i="2"/>
  <c r="I558" i="2"/>
  <c r="J558" i="2"/>
  <c r="G474" i="2"/>
  <c r="J474" i="2"/>
  <c r="I422" i="2"/>
  <c r="J422" i="2"/>
  <c r="J698" i="2"/>
  <c r="J666" i="2"/>
  <c r="G429" i="2"/>
  <c r="J665" i="2"/>
  <c r="F305" i="2"/>
  <c r="G305" i="2" s="1"/>
  <c r="J2" i="2"/>
  <c r="J717" i="2"/>
  <c r="J701" i="2"/>
  <c r="J680" i="2"/>
  <c r="K680" i="2" s="1"/>
  <c r="J674" i="2"/>
  <c r="J669" i="2"/>
  <c r="J664" i="2"/>
  <c r="I719" i="2"/>
  <c r="J719" i="2"/>
  <c r="H719" i="2"/>
  <c r="H711" i="2"/>
  <c r="J711" i="2"/>
  <c r="G711" i="2"/>
  <c r="G703" i="2"/>
  <c r="J703" i="2"/>
  <c r="I703" i="2"/>
  <c r="H695" i="2"/>
  <c r="J695" i="2"/>
  <c r="G695" i="2"/>
  <c r="J667" i="2"/>
  <c r="H667" i="2"/>
  <c r="J659" i="2"/>
  <c r="I659" i="2"/>
  <c r="I651" i="2"/>
  <c r="J651" i="2"/>
  <c r="H651" i="2"/>
  <c r="H643" i="2"/>
  <c r="J643" i="2"/>
  <c r="G643" i="2"/>
  <c r="I643" i="2"/>
  <c r="I591" i="2"/>
  <c r="H591" i="2"/>
  <c r="G583" i="2"/>
  <c r="K583" i="2" s="1"/>
  <c r="H583" i="2"/>
  <c r="I531" i="2"/>
  <c r="H531" i="2"/>
  <c r="H523" i="2"/>
  <c r="G523" i="2"/>
  <c r="H467" i="2"/>
  <c r="G467" i="2"/>
  <c r="K467" i="2" s="1"/>
  <c r="H403" i="2"/>
  <c r="G403" i="2"/>
  <c r="I403" i="2"/>
  <c r="I343" i="2"/>
  <c r="G343" i="2"/>
  <c r="I295" i="2"/>
  <c r="H295" i="2"/>
  <c r="G295" i="2"/>
  <c r="I239" i="2"/>
  <c r="H239" i="2"/>
  <c r="I175" i="2"/>
  <c r="H175" i="2"/>
  <c r="G175" i="2"/>
  <c r="I167" i="2"/>
  <c r="H167" i="2"/>
  <c r="G167" i="2"/>
  <c r="I119" i="2"/>
  <c r="H119" i="2"/>
  <c r="G119" i="2"/>
  <c r="I111" i="2"/>
  <c r="H111" i="2"/>
  <c r="G111" i="2"/>
  <c r="G43" i="2"/>
  <c r="H43" i="2"/>
  <c r="G255" i="2"/>
  <c r="I303" i="2"/>
  <c r="H379" i="2"/>
  <c r="I423" i="2"/>
  <c r="K423" i="2" s="1"/>
  <c r="I427" i="2"/>
  <c r="G431" i="2"/>
  <c r="K431" i="2" s="1"/>
  <c r="F435" i="2"/>
  <c r="G435" i="2" s="1"/>
  <c r="H439" i="2"/>
  <c r="I667" i="2"/>
  <c r="H675" i="2"/>
  <c r="G23" i="2"/>
  <c r="H27" i="2"/>
  <c r="H83" i="2"/>
  <c r="I87" i="2"/>
  <c r="K87" i="2" s="1"/>
  <c r="I91" i="2"/>
  <c r="G147" i="2"/>
  <c r="H151" i="2"/>
  <c r="G203" i="2"/>
  <c r="I207" i="2"/>
  <c r="I211" i="2"/>
  <c r="H263" i="2"/>
  <c r="I267" i="2"/>
  <c r="I331" i="2"/>
  <c r="H503" i="2"/>
  <c r="G563" i="2"/>
  <c r="I695" i="2"/>
  <c r="I227" i="2"/>
  <c r="G299" i="2"/>
  <c r="H351" i="2"/>
  <c r="G415" i="2"/>
  <c r="I463" i="2"/>
  <c r="I599" i="2"/>
  <c r="G659" i="2"/>
  <c r="I711" i="2"/>
  <c r="I715" i="2"/>
  <c r="J715" i="2"/>
  <c r="H715" i="2"/>
  <c r="H707" i="2"/>
  <c r="J707" i="2"/>
  <c r="G707" i="2"/>
  <c r="H699" i="2"/>
  <c r="J699" i="2"/>
  <c r="G699" i="2"/>
  <c r="H691" i="2"/>
  <c r="J691" i="2"/>
  <c r="G691" i="2"/>
  <c r="H687" i="2"/>
  <c r="J687" i="2"/>
  <c r="G687" i="2"/>
  <c r="I687" i="2"/>
  <c r="H683" i="2"/>
  <c r="J683" i="2"/>
  <c r="G683" i="2"/>
  <c r="J679" i="2"/>
  <c r="I679" i="2"/>
  <c r="J671" i="2"/>
  <c r="G671" i="2"/>
  <c r="J663" i="2"/>
  <c r="H663" i="2"/>
  <c r="I655" i="2"/>
  <c r="J655" i="2"/>
  <c r="H655" i="2"/>
  <c r="G655" i="2"/>
  <c r="H647" i="2"/>
  <c r="J647" i="2"/>
  <c r="G647" i="2"/>
  <c r="H639" i="2"/>
  <c r="J639" i="2"/>
  <c r="G639" i="2"/>
  <c r="H635" i="2"/>
  <c r="J635" i="2"/>
  <c r="G635" i="2"/>
  <c r="I595" i="2"/>
  <c r="G595" i="2"/>
  <c r="H587" i="2"/>
  <c r="G587" i="2"/>
  <c r="I535" i="2"/>
  <c r="G535" i="2"/>
  <c r="H527" i="2"/>
  <c r="G527" i="2"/>
  <c r="G479" i="2"/>
  <c r="I479" i="2"/>
  <c r="I471" i="2"/>
  <c r="H471" i="2"/>
  <c r="G471" i="2"/>
  <c r="G419" i="2"/>
  <c r="I419" i="2"/>
  <c r="I407" i="2"/>
  <c r="H407" i="2"/>
  <c r="G355" i="2"/>
  <c r="H355" i="2"/>
  <c r="I347" i="2"/>
  <c r="H347" i="2"/>
  <c r="H291" i="2"/>
  <c r="G291" i="2"/>
  <c r="I283" i="2"/>
  <c r="H283" i="2"/>
  <c r="I235" i="2"/>
  <c r="H235" i="2"/>
  <c r="G235" i="2"/>
  <c r="H231" i="2"/>
  <c r="G231" i="2"/>
  <c r="I223" i="2"/>
  <c r="H223" i="2"/>
  <c r="I179" i="2"/>
  <c r="K179" i="2" s="1"/>
  <c r="H179" i="2"/>
  <c r="I171" i="2"/>
  <c r="H171" i="2"/>
  <c r="I163" i="2"/>
  <c r="H163" i="2"/>
  <c r="I115" i="2"/>
  <c r="K115" i="2" s="1"/>
  <c r="H115" i="2"/>
  <c r="I107" i="2"/>
  <c r="H107" i="2"/>
  <c r="I103" i="2"/>
  <c r="H103" i="2"/>
  <c r="G103" i="2"/>
  <c r="I59" i="2"/>
  <c r="H59" i="2"/>
  <c r="I47" i="2"/>
  <c r="G47" i="2"/>
  <c r="H700" i="2"/>
  <c r="I700" i="2"/>
  <c r="G700" i="2"/>
  <c r="H696" i="2"/>
  <c r="I696" i="2"/>
  <c r="H692" i="2"/>
  <c r="G692" i="2"/>
  <c r="H688" i="2"/>
  <c r="I688" i="2"/>
  <c r="H684" i="2"/>
  <c r="G684" i="2"/>
  <c r="H640" i="2"/>
  <c r="I640" i="2"/>
  <c r="H636" i="2"/>
  <c r="G636" i="2"/>
  <c r="I625" i="2"/>
  <c r="G629" i="2"/>
  <c r="K629" i="2" s="1"/>
  <c r="G293" i="2"/>
  <c r="J633" i="2"/>
  <c r="G189" i="2"/>
  <c r="G261" i="2"/>
  <c r="F9" i="2"/>
  <c r="G9" i="2" s="1"/>
  <c r="K9" i="2" s="1"/>
  <c r="H257" i="2"/>
  <c r="G157" i="2"/>
  <c r="I141" i="2"/>
  <c r="G193" i="2"/>
  <c r="H501" i="2"/>
  <c r="I41" i="2"/>
  <c r="I93" i="2"/>
  <c r="I97" i="2"/>
  <c r="H101" i="2"/>
  <c r="I145" i="2"/>
  <c r="H153" i="2"/>
  <c r="H269" i="2"/>
  <c r="H625" i="2"/>
  <c r="I177" i="2"/>
  <c r="H289" i="2"/>
  <c r="F5" i="2"/>
  <c r="G5" i="2" s="1"/>
  <c r="K5" i="2" s="1"/>
  <c r="G81" i="2"/>
  <c r="K81" i="2" s="1"/>
  <c r="H189" i="2"/>
  <c r="I253" i="2"/>
  <c r="I257" i="2"/>
  <c r="K257" i="2" s="1"/>
  <c r="H149" i="2"/>
  <c r="H629" i="2"/>
  <c r="H73" i="2"/>
  <c r="G77" i="2"/>
  <c r="H185" i="2"/>
  <c r="H261" i="2"/>
  <c r="G497" i="2"/>
  <c r="H5" i="2"/>
  <c r="I69" i="2"/>
  <c r="I73" i="2"/>
  <c r="K73" i="2" s="1"/>
  <c r="H77" i="2"/>
  <c r="I185" i="2"/>
  <c r="I433" i="2"/>
  <c r="F544" i="2"/>
  <c r="G544" i="2" s="1"/>
  <c r="G616" i="2"/>
  <c r="I664" i="2"/>
  <c r="I672" i="2"/>
  <c r="H97" i="2"/>
  <c r="G101" i="2"/>
  <c r="K101" i="2" s="1"/>
  <c r="G145" i="2"/>
  <c r="I149" i="2"/>
  <c r="G153" i="2"/>
  <c r="G209" i="2"/>
  <c r="H337" i="2"/>
  <c r="I456" i="2"/>
  <c r="G460" i="2"/>
  <c r="K460" i="2" s="1"/>
  <c r="I520" i="2"/>
  <c r="G564" i="2"/>
  <c r="I568" i="2"/>
  <c r="I684" i="2"/>
  <c r="G688" i="2"/>
  <c r="K688" i="2" s="1"/>
  <c r="H720" i="2"/>
  <c r="G720" i="2"/>
  <c r="G712" i="2"/>
  <c r="I712" i="2"/>
  <c r="H712" i="2"/>
  <c r="G656" i="2"/>
  <c r="I656" i="2"/>
  <c r="H656" i="2"/>
  <c r="I644" i="2"/>
  <c r="G644" i="2"/>
  <c r="G628" i="2"/>
  <c r="I628" i="2"/>
  <c r="G624" i="2"/>
  <c r="I624" i="2"/>
  <c r="G600" i="2"/>
  <c r="I600" i="2"/>
  <c r="H600" i="2"/>
  <c r="G592" i="2"/>
  <c r="I592" i="2"/>
  <c r="H592" i="2"/>
  <c r="G584" i="2"/>
  <c r="I584" i="2"/>
  <c r="H584" i="2"/>
  <c r="G536" i="2"/>
  <c r="I536" i="2"/>
  <c r="H536" i="2"/>
  <c r="G528" i="2"/>
  <c r="I528" i="2"/>
  <c r="H528" i="2"/>
  <c r="I476" i="2"/>
  <c r="G476" i="2"/>
  <c r="I468" i="2"/>
  <c r="G468" i="2"/>
  <c r="I452" i="2"/>
  <c r="G452" i="2"/>
  <c r="I444" i="2"/>
  <c r="G444" i="2"/>
  <c r="G416" i="2"/>
  <c r="I416" i="2"/>
  <c r="H416" i="2"/>
  <c r="G408" i="2"/>
  <c r="I408" i="2"/>
  <c r="H408" i="2"/>
  <c r="G400" i="2"/>
  <c r="I400" i="2"/>
  <c r="G392" i="2"/>
  <c r="I392" i="2"/>
  <c r="G384" i="2"/>
  <c r="I384" i="2"/>
  <c r="I356" i="2"/>
  <c r="G356" i="2"/>
  <c r="H348" i="2"/>
  <c r="G348" i="2"/>
  <c r="I328" i="2"/>
  <c r="G328" i="2"/>
  <c r="I296" i="2"/>
  <c r="G296" i="2"/>
  <c r="G288" i="2"/>
  <c r="I288" i="2"/>
  <c r="H288" i="2"/>
  <c r="I284" i="2"/>
  <c r="G284" i="2"/>
  <c r="I268" i="2"/>
  <c r="G268" i="2"/>
  <c r="H236" i="2"/>
  <c r="G236" i="2"/>
  <c r="H228" i="2"/>
  <c r="G228" i="2"/>
  <c r="I220" i="2"/>
  <c r="G220" i="2"/>
  <c r="G216" i="2"/>
  <c r="I216" i="2"/>
  <c r="I176" i="2"/>
  <c r="G176" i="2"/>
  <c r="H168" i="2"/>
  <c r="G168" i="2"/>
  <c r="K168" i="2" s="1"/>
  <c r="H164" i="2"/>
  <c r="I164" i="2"/>
  <c r="H120" i="2"/>
  <c r="G120" i="2"/>
  <c r="H112" i="2"/>
  <c r="G112" i="2"/>
  <c r="H108" i="2"/>
  <c r="I108" i="2"/>
  <c r="K7" i="2"/>
  <c r="I716" i="2"/>
  <c r="G716" i="2"/>
  <c r="I708" i="2"/>
  <c r="G708" i="2"/>
  <c r="G704" i="2"/>
  <c r="I704" i="2"/>
  <c r="H704" i="2"/>
  <c r="I660" i="2"/>
  <c r="G660" i="2"/>
  <c r="I652" i="2"/>
  <c r="G652" i="2"/>
  <c r="G648" i="2"/>
  <c r="I648" i="2"/>
  <c r="H648" i="2"/>
  <c r="G632" i="2"/>
  <c r="I632" i="2"/>
  <c r="I596" i="2"/>
  <c r="G596" i="2"/>
  <c r="I588" i="2"/>
  <c r="G588" i="2"/>
  <c r="G572" i="2"/>
  <c r="I572" i="2"/>
  <c r="I540" i="2"/>
  <c r="G540" i="2"/>
  <c r="I532" i="2"/>
  <c r="G532" i="2"/>
  <c r="I524" i="2"/>
  <c r="G524" i="2"/>
  <c r="G480" i="2"/>
  <c r="I480" i="2"/>
  <c r="H480" i="2"/>
  <c r="G472" i="2"/>
  <c r="I472" i="2"/>
  <c r="H472" i="2"/>
  <c r="G464" i="2"/>
  <c r="I464" i="2"/>
  <c r="H464" i="2"/>
  <c r="G448" i="2"/>
  <c r="I448" i="2"/>
  <c r="I420" i="2"/>
  <c r="G420" i="2"/>
  <c r="I412" i="2"/>
  <c r="G412" i="2"/>
  <c r="I404" i="2"/>
  <c r="G404" i="2"/>
  <c r="I396" i="2"/>
  <c r="G396" i="2"/>
  <c r="I388" i="2"/>
  <c r="G388" i="2"/>
  <c r="G360" i="2"/>
  <c r="I360" i="2"/>
  <c r="H360" i="2"/>
  <c r="G352" i="2"/>
  <c r="I352" i="2"/>
  <c r="H352" i="2"/>
  <c r="H344" i="2"/>
  <c r="I344" i="2"/>
  <c r="K344" i="2" s="1"/>
  <c r="I340" i="2"/>
  <c r="G340" i="2"/>
  <c r="G332" i="2"/>
  <c r="I332" i="2"/>
  <c r="G324" i="2"/>
  <c r="I324" i="2"/>
  <c r="H300" i="2"/>
  <c r="G300" i="2"/>
  <c r="H292" i="2"/>
  <c r="I292" i="2"/>
  <c r="K292" i="2" s="1"/>
  <c r="G264" i="2"/>
  <c r="I264" i="2"/>
  <c r="G240" i="2"/>
  <c r="I240" i="2"/>
  <c r="H240" i="2"/>
  <c r="H232" i="2"/>
  <c r="I232" i="2"/>
  <c r="H224" i="2"/>
  <c r="I224" i="2"/>
  <c r="I212" i="2"/>
  <c r="G212" i="2"/>
  <c r="H180" i="2"/>
  <c r="G180" i="2"/>
  <c r="H172" i="2"/>
  <c r="I172" i="2"/>
  <c r="G156" i="2"/>
  <c r="I156" i="2"/>
  <c r="G152" i="2"/>
  <c r="I152" i="2"/>
  <c r="H116" i="2"/>
  <c r="I116" i="2"/>
  <c r="G48" i="2"/>
  <c r="I48" i="2"/>
  <c r="H152" i="2"/>
  <c r="I160" i="2"/>
  <c r="G204" i="2"/>
  <c r="G272" i="2"/>
  <c r="K272" i="2" s="1"/>
  <c r="H324" i="2"/>
  <c r="H328" i="2"/>
  <c r="H332" i="2"/>
  <c r="G456" i="2"/>
  <c r="I508" i="2"/>
  <c r="G512" i="2"/>
  <c r="I564" i="2"/>
  <c r="G568" i="2"/>
  <c r="I576" i="2"/>
  <c r="G580" i="2"/>
  <c r="H628" i="2"/>
  <c r="I636" i="2"/>
  <c r="G640" i="2"/>
  <c r="K640" i="2" s="1"/>
  <c r="I692" i="2"/>
  <c r="G696" i="2"/>
  <c r="H48" i="2"/>
  <c r="I60" i="2"/>
  <c r="G104" i="2"/>
  <c r="H296" i="2"/>
  <c r="H404" i="2"/>
  <c r="H476" i="2"/>
  <c r="H588" i="2"/>
  <c r="H660" i="2"/>
  <c r="H17" i="2"/>
  <c r="F21" i="2"/>
  <c r="G21" i="2" s="1"/>
  <c r="K21" i="2" s="1"/>
  <c r="G65" i="2"/>
  <c r="H129" i="2"/>
  <c r="G133" i="2"/>
  <c r="G137" i="2"/>
  <c r="H201" i="2"/>
  <c r="G245" i="2"/>
  <c r="F249" i="2"/>
  <c r="G249" i="2" s="1"/>
  <c r="K249" i="2" s="1"/>
  <c r="H313" i="2"/>
  <c r="G317" i="2"/>
  <c r="K317" i="2" s="1"/>
  <c r="G321" i="2"/>
  <c r="H365" i="2"/>
  <c r="G369" i="2"/>
  <c r="G373" i="2"/>
  <c r="H377" i="2"/>
  <c r="G381" i="2"/>
  <c r="F425" i="2"/>
  <c r="G425" i="2" s="1"/>
  <c r="I441" i="2"/>
  <c r="G493" i="2"/>
  <c r="I89" i="2"/>
  <c r="H205" i="2"/>
  <c r="I265" i="2"/>
  <c r="I289" i="2"/>
  <c r="H293" i="2"/>
  <c r="G405" i="2"/>
  <c r="K405" i="2" s="1"/>
  <c r="I13" i="2"/>
  <c r="I17" i="2"/>
  <c r="K17" i="2" s="1"/>
  <c r="H21" i="2"/>
  <c r="I125" i="2"/>
  <c r="I129" i="2"/>
  <c r="H133" i="2"/>
  <c r="I197" i="2"/>
  <c r="I201" i="2"/>
  <c r="H245" i="2"/>
  <c r="I309" i="2"/>
  <c r="I313" i="2"/>
  <c r="H317" i="2"/>
  <c r="I321" i="2"/>
  <c r="I365" i="2"/>
  <c r="H369" i="2"/>
  <c r="I373" i="2"/>
  <c r="I377" i="2"/>
  <c r="K377" i="2" s="1"/>
  <c r="H381" i="2"/>
  <c r="H437" i="2"/>
  <c r="H489" i="2"/>
  <c r="F545" i="2"/>
  <c r="G545" i="2" s="1"/>
  <c r="G25" i="2"/>
  <c r="K25" i="2" s="1"/>
  <c r="H85" i="2"/>
  <c r="G161" i="2"/>
  <c r="G337" i="2"/>
  <c r="H181" i="2"/>
  <c r="H361" i="2"/>
  <c r="I717" i="2"/>
  <c r="G717" i="2"/>
  <c r="H709" i="2"/>
  <c r="G709" i="2"/>
  <c r="I709" i="2"/>
  <c r="I701" i="2"/>
  <c r="H701" i="2"/>
  <c r="G697" i="2"/>
  <c r="I697" i="2"/>
  <c r="I689" i="2"/>
  <c r="H689" i="2"/>
  <c r="G689" i="2"/>
  <c r="G681" i="2"/>
  <c r="I681" i="2"/>
  <c r="H677" i="2"/>
  <c r="I677" i="2"/>
  <c r="H665" i="2"/>
  <c r="F665" i="2"/>
  <c r="G665" i="2" s="1"/>
  <c r="H653" i="2"/>
  <c r="G653" i="2"/>
  <c r="I645" i="2"/>
  <c r="G645" i="2"/>
  <c r="H637" i="2"/>
  <c r="G637" i="2"/>
  <c r="I637" i="2"/>
  <c r="I633" i="2"/>
  <c r="H633" i="2"/>
  <c r="H617" i="2"/>
  <c r="G617" i="2"/>
  <c r="G613" i="2"/>
  <c r="I613" i="2"/>
  <c r="H613" i="2"/>
  <c r="I605" i="2"/>
  <c r="H605" i="2"/>
  <c r="F605" i="2"/>
  <c r="G605" i="2" s="1"/>
  <c r="G601" i="2"/>
  <c r="H601" i="2"/>
  <c r="I593" i="2"/>
  <c r="H593" i="2"/>
  <c r="G593" i="2"/>
  <c r="G585" i="2"/>
  <c r="H585" i="2"/>
  <c r="I577" i="2"/>
  <c r="H577" i="2"/>
  <c r="G577" i="2"/>
  <c r="I573" i="2"/>
  <c r="G573" i="2"/>
  <c r="H565" i="2"/>
  <c r="G565" i="2"/>
  <c r="I565" i="2"/>
  <c r="H553" i="2"/>
  <c r="I553" i="2"/>
  <c r="I533" i="2"/>
  <c r="G533" i="2"/>
  <c r="H533" i="2"/>
  <c r="H525" i="2"/>
  <c r="G525" i="2"/>
  <c r="I517" i="2"/>
  <c r="G517" i="2"/>
  <c r="G513" i="2"/>
  <c r="H513" i="2"/>
  <c r="I481" i="2"/>
  <c r="H481" i="2"/>
  <c r="G481" i="2"/>
  <c r="G473" i="2"/>
  <c r="I473" i="2"/>
  <c r="H473" i="2"/>
  <c r="I489" i="2"/>
  <c r="H493" i="2"/>
  <c r="I501" i="2"/>
  <c r="H545" i="2"/>
  <c r="H681" i="2"/>
  <c r="I721" i="2"/>
  <c r="H721" i="2"/>
  <c r="G721" i="2"/>
  <c r="G713" i="2"/>
  <c r="H713" i="2"/>
  <c r="I713" i="2"/>
  <c r="I705" i="2"/>
  <c r="H705" i="2"/>
  <c r="H693" i="2"/>
  <c r="G693" i="2"/>
  <c r="I693" i="2"/>
  <c r="I685" i="2"/>
  <c r="G685" i="2"/>
  <c r="G669" i="2"/>
  <c r="H669" i="2"/>
  <c r="I649" i="2"/>
  <c r="H649" i="2"/>
  <c r="G649" i="2"/>
  <c r="G641" i="2"/>
  <c r="H641" i="2"/>
  <c r="I641" i="2"/>
  <c r="I621" i="2"/>
  <c r="G621" i="2"/>
  <c r="H609" i="2"/>
  <c r="I609" i="2"/>
  <c r="G609" i="2"/>
  <c r="H597" i="2"/>
  <c r="G597" i="2"/>
  <c r="I597" i="2"/>
  <c r="I589" i="2"/>
  <c r="G589" i="2"/>
  <c r="H581" i="2"/>
  <c r="G581" i="2"/>
  <c r="G569" i="2"/>
  <c r="H569" i="2"/>
  <c r="I561" i="2"/>
  <c r="H561" i="2"/>
  <c r="G557" i="2"/>
  <c r="I557" i="2"/>
  <c r="I549" i="2"/>
  <c r="H549" i="2"/>
  <c r="H541" i="2"/>
  <c r="G541" i="2"/>
  <c r="I537" i="2"/>
  <c r="H537" i="2"/>
  <c r="G537" i="2"/>
  <c r="G529" i="2"/>
  <c r="H529" i="2"/>
  <c r="I521" i="2"/>
  <c r="H521" i="2"/>
  <c r="G521" i="2"/>
  <c r="H509" i="2"/>
  <c r="G509" i="2"/>
  <c r="I505" i="2"/>
  <c r="H505" i="2"/>
  <c r="G505" i="2"/>
  <c r="F485" i="2"/>
  <c r="G485" i="2" s="1"/>
  <c r="H485" i="2"/>
  <c r="I477" i="2"/>
  <c r="H477" i="2"/>
  <c r="G477" i="2"/>
  <c r="I485" i="2"/>
  <c r="I497" i="2"/>
  <c r="H517" i="2"/>
  <c r="H697" i="2"/>
  <c r="I541" i="2"/>
  <c r="H645" i="2"/>
  <c r="H657" i="2"/>
  <c r="G661" i="2"/>
  <c r="G705" i="2"/>
  <c r="H557" i="2"/>
  <c r="I617" i="2"/>
  <c r="H673" i="2"/>
  <c r="G677" i="2"/>
  <c r="I513" i="2"/>
  <c r="H685" i="2"/>
  <c r="I529" i="2"/>
  <c r="I601" i="2"/>
  <c r="I653" i="2"/>
  <c r="I657" i="2"/>
  <c r="H661" i="2"/>
  <c r="H469" i="2"/>
  <c r="G469" i="2"/>
  <c r="I465" i="2"/>
  <c r="H465" i="2"/>
  <c r="G465" i="2"/>
  <c r="I461" i="2"/>
  <c r="G461" i="2"/>
  <c r="G457" i="2"/>
  <c r="H457" i="2"/>
  <c r="H453" i="2"/>
  <c r="G453" i="2"/>
  <c r="I449" i="2"/>
  <c r="H449" i="2"/>
  <c r="I421" i="2"/>
  <c r="G421" i="2"/>
  <c r="G417" i="2"/>
  <c r="H417" i="2"/>
  <c r="H413" i="2"/>
  <c r="G413" i="2"/>
  <c r="I409" i="2"/>
  <c r="H409" i="2"/>
  <c r="H397" i="2"/>
  <c r="G397" i="2"/>
  <c r="I393" i="2"/>
  <c r="H393" i="2"/>
  <c r="G393" i="2"/>
  <c r="I389" i="2"/>
  <c r="G389" i="2"/>
  <c r="H385" i="2"/>
  <c r="G385" i="2"/>
  <c r="H357" i="2"/>
  <c r="G357" i="2"/>
  <c r="I353" i="2"/>
  <c r="H353" i="2"/>
  <c r="G353" i="2"/>
  <c r="I349" i="2"/>
  <c r="G349" i="2"/>
  <c r="G345" i="2"/>
  <c r="H345" i="2"/>
  <c r="I341" i="2"/>
  <c r="H341" i="2"/>
  <c r="H333" i="2"/>
  <c r="G333" i="2"/>
  <c r="I329" i="2"/>
  <c r="H329" i="2"/>
  <c r="G329" i="2"/>
  <c r="I325" i="2"/>
  <c r="G325" i="2"/>
  <c r="H301" i="2"/>
  <c r="G301" i="2"/>
  <c r="I297" i="2"/>
  <c r="H297" i="2"/>
  <c r="H285" i="2"/>
  <c r="G285" i="2"/>
  <c r="G281" i="2"/>
  <c r="H281" i="2"/>
  <c r="H277" i="2"/>
  <c r="G277" i="2"/>
  <c r="I273" i="2"/>
  <c r="H273" i="2"/>
  <c r="I241" i="2"/>
  <c r="H241" i="2"/>
  <c r="G241" i="2"/>
  <c r="I237" i="2"/>
  <c r="G237" i="2"/>
  <c r="G233" i="2"/>
  <c r="H233" i="2"/>
  <c r="H229" i="2"/>
  <c r="G229" i="2"/>
  <c r="I225" i="2"/>
  <c r="H225" i="2"/>
  <c r="H173" i="2"/>
  <c r="G173" i="2"/>
  <c r="I169" i="2"/>
  <c r="H169" i="2"/>
  <c r="G169" i="2"/>
  <c r="I165" i="2"/>
  <c r="G165" i="2"/>
  <c r="G121" i="2"/>
  <c r="H121" i="2"/>
  <c r="H117" i="2"/>
  <c r="G117" i="2"/>
  <c r="I113" i="2"/>
  <c r="H113" i="2"/>
  <c r="H105" i="2"/>
  <c r="G105" i="2"/>
  <c r="I61" i="2"/>
  <c r="H61" i="2"/>
  <c r="G61" i="2"/>
  <c r="I57" i="2"/>
  <c r="G57" i="2"/>
  <c r="G53" i="2"/>
  <c r="H53" i="2"/>
  <c r="H49" i="2"/>
  <c r="G49" i="2"/>
  <c r="I45" i="2"/>
  <c r="H45" i="2"/>
  <c r="H9" i="2"/>
  <c r="G13" i="2"/>
  <c r="H65" i="2"/>
  <c r="G69" i="2"/>
  <c r="H81" i="2"/>
  <c r="G125" i="2"/>
  <c r="H137" i="2"/>
  <c r="G141" i="2"/>
  <c r="H193" i="2"/>
  <c r="G197" i="2"/>
  <c r="H249" i="2"/>
  <c r="G253" i="2"/>
  <c r="H305" i="2"/>
  <c r="G309" i="2"/>
  <c r="H425" i="2"/>
  <c r="I429" i="2"/>
  <c r="G433" i="2"/>
  <c r="H25" i="2"/>
  <c r="G29" i="2"/>
  <c r="K29" i="2" s="1"/>
  <c r="G33" i="2"/>
  <c r="H37" i="2"/>
  <c r="G41" i="2"/>
  <c r="H157" i="2"/>
  <c r="I161" i="2"/>
  <c r="I205" i="2"/>
  <c r="H209" i="2"/>
  <c r="G213" i="2"/>
  <c r="G217" i="2"/>
  <c r="H221" i="2"/>
  <c r="G265" i="2"/>
  <c r="I277" i="2"/>
  <c r="H389" i="2"/>
  <c r="H401" i="2"/>
  <c r="G445" i="2"/>
  <c r="G449" i="2"/>
  <c r="K449" i="2" s="1"/>
  <c r="H57" i="2"/>
  <c r="G109" i="2"/>
  <c r="G113" i="2"/>
  <c r="K113" i="2" s="1"/>
  <c r="I229" i="2"/>
  <c r="I345" i="2"/>
  <c r="I357" i="2"/>
  <c r="I361" i="2"/>
  <c r="H405" i="2"/>
  <c r="H421" i="2"/>
  <c r="G437" i="2"/>
  <c r="G441" i="2"/>
  <c r="H29" i="2"/>
  <c r="I33" i="2"/>
  <c r="I37" i="2"/>
  <c r="K37" i="2" s="1"/>
  <c r="G85" i="2"/>
  <c r="G89" i="2"/>
  <c r="H93" i="2"/>
  <c r="H213" i="2"/>
  <c r="I217" i="2"/>
  <c r="I221" i="2"/>
  <c r="G269" i="2"/>
  <c r="G273" i="2"/>
  <c r="I385" i="2"/>
  <c r="I397" i="2"/>
  <c r="I401" i="2"/>
  <c r="H445" i="2"/>
  <c r="H461" i="2"/>
  <c r="I53" i="2"/>
  <c r="K53" i="2" s="1"/>
  <c r="I105" i="2"/>
  <c r="H109" i="2"/>
  <c r="H165" i="2"/>
  <c r="H177" i="2"/>
  <c r="G181" i="2"/>
  <c r="G225" i="2"/>
  <c r="I301" i="2"/>
  <c r="I417" i="2"/>
  <c r="K417" i="2" s="1"/>
  <c r="I469" i="2"/>
  <c r="G6" i="2"/>
  <c r="K6" i="2" s="1"/>
  <c r="H6" i="2"/>
  <c r="F2" i="2"/>
  <c r="G2" i="2" s="1"/>
  <c r="I2" i="2"/>
  <c r="I714" i="2"/>
  <c r="H714" i="2"/>
  <c r="G714" i="2"/>
  <c r="I706" i="2"/>
  <c r="H706" i="2"/>
  <c r="G706" i="2"/>
  <c r="I702" i="2"/>
  <c r="H702" i="2"/>
  <c r="G702" i="2"/>
  <c r="G694" i="2"/>
  <c r="I694" i="2"/>
  <c r="H694" i="2"/>
  <c r="H686" i="2"/>
  <c r="G686" i="2"/>
  <c r="I686" i="2"/>
  <c r="I678" i="2"/>
  <c r="H678" i="2"/>
  <c r="I670" i="2"/>
  <c r="H670" i="2"/>
  <c r="I666" i="2"/>
  <c r="H666" i="2"/>
  <c r="I658" i="2"/>
  <c r="H658" i="2"/>
  <c r="I650" i="2"/>
  <c r="H650" i="2"/>
  <c r="G650" i="2"/>
  <c r="I642" i="2"/>
  <c r="H642" i="2"/>
  <c r="G642" i="2"/>
  <c r="H634" i="2"/>
  <c r="G634" i="2"/>
  <c r="I634" i="2"/>
  <c r="I626" i="2"/>
  <c r="H626" i="2"/>
  <c r="I618" i="2"/>
  <c r="H618" i="2"/>
  <c r="I610" i="2"/>
  <c r="H610" i="2"/>
  <c r="I606" i="2"/>
  <c r="H606" i="2"/>
  <c r="I598" i="2"/>
  <c r="H598" i="2"/>
  <c r="G598" i="2"/>
  <c r="I590" i="2"/>
  <c r="H590" i="2"/>
  <c r="G590" i="2"/>
  <c r="I582" i="2"/>
  <c r="H582" i="2"/>
  <c r="G582" i="2"/>
  <c r="I578" i="2"/>
  <c r="H578" i="2"/>
  <c r="I570" i="2"/>
  <c r="H570" i="2"/>
  <c r="G570" i="2"/>
  <c r="I562" i="2"/>
  <c r="H562" i="2"/>
  <c r="H554" i="2"/>
  <c r="G554" i="2"/>
  <c r="H546" i="2"/>
  <c r="G546" i="2"/>
  <c r="I538" i="2"/>
  <c r="H538" i="2"/>
  <c r="G538" i="2"/>
  <c r="I530" i="2"/>
  <c r="H530" i="2"/>
  <c r="G530" i="2"/>
  <c r="I526" i="2"/>
  <c r="H526" i="2"/>
  <c r="G526" i="2"/>
  <c r="G518" i="2"/>
  <c r="I518" i="2"/>
  <c r="H518" i="2"/>
  <c r="G510" i="2"/>
  <c r="H510" i="2"/>
  <c r="H502" i="2"/>
  <c r="G502" i="2"/>
  <c r="I502" i="2"/>
  <c r="I498" i="2"/>
  <c r="H498" i="2"/>
  <c r="G498" i="2"/>
  <c r="I494" i="2"/>
  <c r="H494" i="2"/>
  <c r="G494" i="2"/>
  <c r="I490" i="2"/>
  <c r="H490" i="2"/>
  <c r="G490" i="2"/>
  <c r="I486" i="2"/>
  <c r="H486" i="2"/>
  <c r="I478" i="2"/>
  <c r="H478" i="2"/>
  <c r="G478" i="2"/>
  <c r="I470" i="2"/>
  <c r="H470" i="2"/>
  <c r="G470" i="2"/>
  <c r="I466" i="2"/>
  <c r="G466" i="2"/>
  <c r="H466" i="2"/>
  <c r="I462" i="2"/>
  <c r="H462" i="2"/>
  <c r="G462" i="2"/>
  <c r="H454" i="2"/>
  <c r="G454" i="2"/>
  <c r="I454" i="2"/>
  <c r="H450" i="2"/>
  <c r="G450" i="2"/>
  <c r="I450" i="2"/>
  <c r="I446" i="2"/>
  <c r="H446" i="2"/>
  <c r="I442" i="2"/>
  <c r="H442" i="2"/>
  <c r="G442" i="2"/>
  <c r="G438" i="2"/>
  <c r="I438" i="2"/>
  <c r="G434" i="2"/>
  <c r="I434" i="2"/>
  <c r="G430" i="2"/>
  <c r="I430" i="2"/>
  <c r="G426" i="2"/>
  <c r="I426" i="2"/>
  <c r="H422" i="2"/>
  <c r="F422" i="2"/>
  <c r="G422" i="2" s="1"/>
  <c r="I418" i="2"/>
  <c r="H418" i="2"/>
  <c r="I414" i="2"/>
  <c r="H414" i="2"/>
  <c r="G414" i="2"/>
  <c r="I410" i="2"/>
  <c r="G410" i="2"/>
  <c r="H410" i="2"/>
  <c r="I406" i="2"/>
  <c r="H406" i="2"/>
  <c r="G406" i="2"/>
  <c r="I402" i="2"/>
  <c r="H402" i="2"/>
  <c r="I398" i="2"/>
  <c r="H398" i="2"/>
  <c r="I394" i="2"/>
  <c r="H394" i="2"/>
  <c r="G394" i="2"/>
  <c r="I390" i="2"/>
  <c r="G390" i="2"/>
  <c r="I386" i="2"/>
  <c r="H386" i="2"/>
  <c r="I382" i="2"/>
  <c r="H382" i="2"/>
  <c r="G382" i="2"/>
  <c r="H378" i="2"/>
  <c r="G378" i="2"/>
  <c r="H374" i="2"/>
  <c r="G374" i="2"/>
  <c r="H370" i="2"/>
  <c r="G370" i="2"/>
  <c r="I366" i="2"/>
  <c r="H366" i="2"/>
  <c r="G366" i="2"/>
  <c r="I362" i="2"/>
  <c r="H362" i="2"/>
  <c r="F362" i="2"/>
  <c r="G362" i="2" s="1"/>
  <c r="I358" i="2"/>
  <c r="H358" i="2"/>
  <c r="G358" i="2"/>
  <c r="I354" i="2"/>
  <c r="G354" i="2"/>
  <c r="H354" i="2"/>
  <c r="I350" i="2"/>
  <c r="H350" i="2"/>
  <c r="G350" i="2"/>
  <c r="I346" i="2"/>
  <c r="H346" i="2"/>
  <c r="I342" i="2"/>
  <c r="H342" i="2"/>
  <c r="G342" i="2"/>
  <c r="I338" i="2"/>
  <c r="H338" i="2"/>
  <c r="G338" i="2"/>
  <c r="G334" i="2"/>
  <c r="H334" i="2"/>
  <c r="G330" i="2"/>
  <c r="I330" i="2"/>
  <c r="G326" i="2"/>
  <c r="I326" i="2"/>
  <c r="H326" i="2"/>
  <c r="G322" i="2"/>
  <c r="I322" i="2"/>
  <c r="H322" i="2"/>
  <c r="I318" i="2"/>
  <c r="H318" i="2"/>
  <c r="G318" i="2"/>
  <c r="I314" i="2"/>
  <c r="H314" i="2"/>
  <c r="I310" i="2"/>
  <c r="H310" i="2"/>
  <c r="I306" i="2"/>
  <c r="H306" i="2"/>
  <c r="I298" i="2"/>
  <c r="G298" i="2"/>
  <c r="H298" i="2"/>
  <c r="I294" i="2"/>
  <c r="H294" i="2"/>
  <c r="G294" i="2"/>
  <c r="I290" i="2"/>
  <c r="H290" i="2"/>
  <c r="I286" i="2"/>
  <c r="H286" i="2"/>
  <c r="G286" i="2"/>
  <c r="I282" i="2"/>
  <c r="G282" i="2"/>
  <c r="H282" i="2"/>
  <c r="H278" i="2"/>
  <c r="G278" i="2"/>
  <c r="I278" i="2"/>
  <c r="H274" i="2"/>
  <c r="G274" i="2"/>
  <c r="I274" i="2"/>
  <c r="H270" i="2"/>
  <c r="G270" i="2"/>
  <c r="I270" i="2"/>
  <c r="H266" i="2"/>
  <c r="G266" i="2"/>
  <c r="I266" i="2"/>
  <c r="I262" i="2"/>
  <c r="H262" i="2"/>
  <c r="G262" i="2"/>
  <c r="G258" i="2"/>
  <c r="I258" i="2"/>
  <c r="G254" i="2"/>
  <c r="I254" i="2"/>
  <c r="F250" i="2"/>
  <c r="G250" i="2" s="1"/>
  <c r="I250" i="2"/>
  <c r="G246" i="2"/>
  <c r="I246" i="2"/>
  <c r="G242" i="2"/>
  <c r="I242" i="2"/>
  <c r="I238" i="2"/>
  <c r="H238" i="2"/>
  <c r="G238" i="2"/>
  <c r="I234" i="2"/>
  <c r="H234" i="2"/>
  <c r="I230" i="2"/>
  <c r="H230" i="2"/>
  <c r="G230" i="2"/>
  <c r="H226" i="2"/>
  <c r="G226" i="2"/>
  <c r="I226" i="2"/>
  <c r="H222" i="2"/>
  <c r="G222" i="2"/>
  <c r="I222" i="2"/>
  <c r="I218" i="2"/>
  <c r="G218" i="2"/>
  <c r="I214" i="2"/>
  <c r="H214" i="2"/>
  <c r="I210" i="2"/>
  <c r="H210" i="2"/>
  <c r="G210" i="2"/>
  <c r="I206" i="2"/>
  <c r="H206" i="2"/>
  <c r="G206" i="2"/>
  <c r="I202" i="2"/>
  <c r="H202" i="2"/>
  <c r="G202" i="2"/>
  <c r="H198" i="2"/>
  <c r="G198" i="2"/>
  <c r="H194" i="2"/>
  <c r="F194" i="2"/>
  <c r="G194" i="2" s="1"/>
  <c r="I190" i="2"/>
  <c r="H190" i="2"/>
  <c r="G190" i="2"/>
  <c r="I186" i="2"/>
  <c r="H186" i="2"/>
  <c r="I182" i="2"/>
  <c r="H182" i="2"/>
  <c r="H178" i="2"/>
  <c r="G178" i="2"/>
  <c r="I178" i="2"/>
  <c r="H174" i="2"/>
  <c r="G174" i="2"/>
  <c r="I174" i="2"/>
  <c r="G170" i="2"/>
  <c r="I170" i="2"/>
  <c r="H170" i="2"/>
  <c r="H166" i="2"/>
  <c r="G166" i="2"/>
  <c r="I166" i="2"/>
  <c r="H162" i="2"/>
  <c r="G162" i="2"/>
  <c r="I162" i="2"/>
  <c r="I158" i="2"/>
  <c r="H158" i="2"/>
  <c r="G158" i="2"/>
  <c r="I154" i="2"/>
  <c r="H154" i="2"/>
  <c r="G154" i="2"/>
  <c r="I150" i="2"/>
  <c r="H150" i="2"/>
  <c r="G150" i="2"/>
  <c r="I146" i="2"/>
  <c r="H146" i="2"/>
  <c r="G146" i="2"/>
  <c r="I142" i="2"/>
  <c r="H142" i="2"/>
  <c r="G142" i="2"/>
  <c r="I138" i="2"/>
  <c r="H138" i="2"/>
  <c r="G134" i="2"/>
  <c r="I134" i="2"/>
  <c r="F130" i="2"/>
  <c r="G130" i="2" s="1"/>
  <c r="I130" i="2"/>
  <c r="H126" i="2"/>
  <c r="G126" i="2"/>
  <c r="H122" i="2"/>
  <c r="G122" i="2"/>
  <c r="H118" i="2"/>
  <c r="G118" i="2"/>
  <c r="I118" i="2"/>
  <c r="I114" i="2"/>
  <c r="H114" i="2"/>
  <c r="I110" i="2"/>
  <c r="H110" i="2"/>
  <c r="G110" i="2"/>
  <c r="I106" i="2"/>
  <c r="H106" i="2"/>
  <c r="I102" i="2"/>
  <c r="H102" i="2"/>
  <c r="G102" i="2"/>
  <c r="I98" i="2"/>
  <c r="H98" i="2"/>
  <c r="G98" i="2"/>
  <c r="I94" i="2"/>
  <c r="H94" i="2"/>
  <c r="G94" i="2"/>
  <c r="I90" i="2"/>
  <c r="H90" i="2"/>
  <c r="G90" i="2"/>
  <c r="I86" i="2"/>
  <c r="H86" i="2"/>
  <c r="G86" i="2"/>
  <c r="I82" i="2"/>
  <c r="H82" i="2"/>
  <c r="G82" i="2"/>
  <c r="H78" i="2"/>
  <c r="G78" i="2"/>
  <c r="H74" i="2"/>
  <c r="G74" i="2"/>
  <c r="H70" i="2"/>
  <c r="G70" i="2"/>
  <c r="H66" i="2"/>
  <c r="G66" i="2"/>
  <c r="H62" i="2"/>
  <c r="G62" i="2"/>
  <c r="I58" i="2"/>
  <c r="G58" i="2"/>
  <c r="I54" i="2"/>
  <c r="H54" i="2"/>
  <c r="I50" i="2"/>
  <c r="H50" i="2"/>
  <c r="G50" i="2"/>
  <c r="I46" i="2"/>
  <c r="H46" i="2"/>
  <c r="G46" i="2"/>
  <c r="G42" i="2"/>
  <c r="H42" i="2"/>
  <c r="I38" i="2"/>
  <c r="H38" i="2"/>
  <c r="I34" i="2"/>
  <c r="H34" i="2"/>
  <c r="I30" i="2"/>
  <c r="K30" i="2" s="1"/>
  <c r="H30" i="2"/>
  <c r="I26" i="2"/>
  <c r="H26" i="2"/>
  <c r="I22" i="2"/>
  <c r="K22" i="2" s="1"/>
  <c r="H22" i="2"/>
  <c r="I18" i="2"/>
  <c r="H18" i="2"/>
  <c r="G18" i="2"/>
  <c r="I14" i="2"/>
  <c r="H14" i="2"/>
  <c r="G14" i="2"/>
  <c r="I10" i="2"/>
  <c r="H10" i="2"/>
  <c r="G10" i="2"/>
  <c r="I62" i="2"/>
  <c r="I70" i="2"/>
  <c r="I78" i="2"/>
  <c r="I126" i="2"/>
  <c r="H134" i="2"/>
  <c r="G182" i="2"/>
  <c r="K182" i="2" s="1"/>
  <c r="I198" i="2"/>
  <c r="H246" i="2"/>
  <c r="H254" i="2"/>
  <c r="G310" i="2"/>
  <c r="I370" i="2"/>
  <c r="I378" i="2"/>
  <c r="G606" i="2"/>
  <c r="G670" i="2"/>
  <c r="K670" i="2" s="1"/>
  <c r="G678" i="2"/>
  <c r="G26" i="2"/>
  <c r="G34" i="2"/>
  <c r="G398" i="2"/>
  <c r="I510" i="2"/>
  <c r="G562" i="2"/>
  <c r="G346" i="2"/>
  <c r="I718" i="2"/>
  <c r="H718" i="2"/>
  <c r="G718" i="2"/>
  <c r="I710" i="2"/>
  <c r="H710" i="2"/>
  <c r="G710" i="2"/>
  <c r="G698" i="2"/>
  <c r="I698" i="2"/>
  <c r="G690" i="2"/>
  <c r="I690" i="2"/>
  <c r="H690" i="2"/>
  <c r="H682" i="2"/>
  <c r="G682" i="2"/>
  <c r="I682" i="2"/>
  <c r="I674" i="2"/>
  <c r="H674" i="2"/>
  <c r="I662" i="2"/>
  <c r="H662" i="2"/>
  <c r="I654" i="2"/>
  <c r="H654" i="2"/>
  <c r="G654" i="2"/>
  <c r="I646" i="2"/>
  <c r="H646" i="2"/>
  <c r="G646" i="2"/>
  <c r="H638" i="2"/>
  <c r="G638" i="2"/>
  <c r="I638" i="2"/>
  <c r="I630" i="2"/>
  <c r="H630" i="2"/>
  <c r="G630" i="2"/>
  <c r="I622" i="2"/>
  <c r="H622" i="2"/>
  <c r="G622" i="2"/>
  <c r="I614" i="2"/>
  <c r="H614" i="2"/>
  <c r="F602" i="2"/>
  <c r="G602" i="2" s="1"/>
  <c r="I602" i="2"/>
  <c r="I594" i="2"/>
  <c r="H594" i="2"/>
  <c r="G594" i="2"/>
  <c r="I586" i="2"/>
  <c r="H586" i="2"/>
  <c r="I574" i="2"/>
  <c r="H574" i="2"/>
  <c r="G574" i="2"/>
  <c r="I566" i="2"/>
  <c r="G566" i="2"/>
  <c r="H558" i="2"/>
  <c r="G558" i="2"/>
  <c r="H550" i="2"/>
  <c r="G550" i="2"/>
  <c r="I542" i="2"/>
  <c r="H542" i="2"/>
  <c r="F542" i="2"/>
  <c r="G542" i="2" s="1"/>
  <c r="I534" i="2"/>
  <c r="H534" i="2"/>
  <c r="G534" i="2"/>
  <c r="I522" i="2"/>
  <c r="H522" i="2"/>
  <c r="G522" i="2"/>
  <c r="G514" i="2"/>
  <c r="I514" i="2"/>
  <c r="H514" i="2"/>
  <c r="G506" i="2"/>
  <c r="I506" i="2"/>
  <c r="F482" i="2"/>
  <c r="G482" i="2" s="1"/>
  <c r="I482" i="2"/>
  <c r="H482" i="2"/>
  <c r="I474" i="2"/>
  <c r="H474" i="2"/>
  <c r="H458" i="2"/>
  <c r="G458" i="2"/>
  <c r="I458" i="2"/>
  <c r="I302" i="2"/>
  <c r="H302" i="2"/>
  <c r="H426" i="2"/>
  <c r="H434" i="2"/>
  <c r="I546" i="2"/>
  <c r="I554" i="2"/>
  <c r="H602" i="2"/>
  <c r="G214" i="2"/>
  <c r="H330" i="2"/>
  <c r="H390" i="2"/>
  <c r="G626" i="2"/>
  <c r="I42" i="2"/>
  <c r="G54" i="2"/>
  <c r="G114" i="2"/>
  <c r="G402" i="2"/>
  <c r="G658" i="2"/>
  <c r="K440" i="2" l="1"/>
  <c r="K84" i="2"/>
  <c r="K492" i="2"/>
  <c r="K248" i="2"/>
  <c r="K223" i="2"/>
  <c r="K195" i="2"/>
  <c r="K128" i="2"/>
  <c r="K376" i="2"/>
  <c r="K4" i="2"/>
  <c r="K320" i="2"/>
  <c r="K116" i="2"/>
  <c r="K80" i="2"/>
  <c r="K108" i="2"/>
  <c r="K227" i="2"/>
  <c r="K184" i="2"/>
  <c r="K204" i="2"/>
  <c r="K79" i="2"/>
  <c r="K54" i="2"/>
  <c r="K267" i="2"/>
  <c r="K260" i="2"/>
  <c r="K144" i="2"/>
  <c r="K68" i="2"/>
  <c r="K173" i="2"/>
  <c r="K200" i="2"/>
  <c r="K304" i="2"/>
  <c r="K72" i="2"/>
  <c r="K92" i="2"/>
  <c r="K124" i="2"/>
  <c r="K436" i="2"/>
  <c r="K496" i="2"/>
  <c r="K172" i="2"/>
  <c r="K191" i="2"/>
  <c r="K548" i="2"/>
  <c r="K104" i="2"/>
  <c r="K608" i="2"/>
  <c r="K76" i="2"/>
  <c r="K269" i="2"/>
  <c r="K232" i="2"/>
  <c r="K512" i="2"/>
  <c r="K160" i="2"/>
  <c r="K348" i="2"/>
  <c r="K664" i="2"/>
  <c r="K77" i="2"/>
  <c r="K127" i="2"/>
  <c r="K504" i="2"/>
  <c r="K163" i="2"/>
  <c r="K52" i="2"/>
  <c r="K44" i="2"/>
  <c r="K488" i="2"/>
  <c r="K16" i="2"/>
  <c r="K32" i="2"/>
  <c r="K132" i="2"/>
  <c r="K244" i="2"/>
  <c r="K500" i="2"/>
  <c r="K676" i="2"/>
  <c r="K409" i="2"/>
  <c r="K581" i="2"/>
  <c r="K45" i="2"/>
  <c r="K49" i="2"/>
  <c r="K129" i="2"/>
  <c r="K180" i="2"/>
  <c r="K612" i="2"/>
  <c r="K96" i="2"/>
  <c r="K205" i="2"/>
  <c r="K60" i="2"/>
  <c r="K140" i="2"/>
  <c r="K196" i="2"/>
  <c r="K312" i="2"/>
  <c r="K109" i="2"/>
  <c r="K361" i="2"/>
  <c r="K281" i="2"/>
  <c r="K333" i="2"/>
  <c r="K453" i="2"/>
  <c r="K657" i="2"/>
  <c r="K561" i="2"/>
  <c r="K489" i="2"/>
  <c r="K185" i="2"/>
  <c r="K97" i="2"/>
  <c r="K177" i="2"/>
  <c r="K189" i="2"/>
  <c r="K364" i="2"/>
  <c r="K276" i="2"/>
  <c r="K516" i="2"/>
  <c r="K252" i="2"/>
  <c r="K424" i="2"/>
  <c r="K428" i="2"/>
  <c r="K308" i="2"/>
  <c r="K56" i="2"/>
  <c r="K88" i="2"/>
  <c r="K148" i="2"/>
  <c r="K256" i="2"/>
  <c r="K552" i="2"/>
  <c r="K40" i="2"/>
  <c r="K604" i="2"/>
  <c r="K100" i="2"/>
  <c r="K136" i="2"/>
  <c r="K188" i="2"/>
  <c r="K432" i="2"/>
  <c r="K372" i="2"/>
  <c r="K484" i="2"/>
  <c r="K336" i="2"/>
  <c r="K368" i="2"/>
  <c r="K157" i="2"/>
  <c r="K560" i="2"/>
  <c r="K208" i="2"/>
  <c r="K121" i="2"/>
  <c r="K280" i="2"/>
  <c r="K380" i="2"/>
  <c r="K192" i="2"/>
  <c r="K137" i="2"/>
  <c r="K508" i="2"/>
  <c r="K120" i="2"/>
  <c r="K228" i="2"/>
  <c r="K209" i="2"/>
  <c r="K616" i="2"/>
  <c r="K93" i="2"/>
  <c r="K261" i="2"/>
  <c r="K221" i="2"/>
  <c r="K457" i="2"/>
  <c r="K133" i="2"/>
  <c r="K239" i="2"/>
  <c r="K64" i="2"/>
  <c r="K300" i="2"/>
  <c r="K112" i="2"/>
  <c r="K164" i="2"/>
  <c r="K236" i="2"/>
  <c r="K316" i="2"/>
  <c r="K233" i="2"/>
  <c r="K65" i="2"/>
  <c r="K224" i="2"/>
  <c r="K193" i="2"/>
  <c r="K91" i="2"/>
  <c r="K219" i="2"/>
  <c r="K75" i="2"/>
  <c r="K38" i="2"/>
  <c r="K181" i="2"/>
  <c r="K201" i="2"/>
  <c r="K520" i="2"/>
  <c r="K59" i="2"/>
  <c r="K123" i="2"/>
  <c r="K675" i="2"/>
  <c r="K183" i="2"/>
  <c r="K131" i="2"/>
  <c r="K153" i="2"/>
  <c r="K149" i="2"/>
  <c r="K259" i="2"/>
  <c r="K213" i="2"/>
  <c r="K243" i="2"/>
  <c r="K85" i="2"/>
  <c r="K245" i="2"/>
  <c r="K66" i="2"/>
  <c r="K74" i="2"/>
  <c r="K117" i="2"/>
  <c r="K580" i="2"/>
  <c r="K171" i="2"/>
  <c r="K43" i="2"/>
  <c r="K55" i="2"/>
  <c r="K155" i="2"/>
  <c r="K668" i="2"/>
  <c r="K194" i="2"/>
  <c r="K231" i="2"/>
  <c r="K122" i="2"/>
  <c r="K107" i="2"/>
  <c r="K720" i="2"/>
  <c r="K71" i="2"/>
  <c r="K672" i="2"/>
  <c r="K106" i="2"/>
  <c r="K186" i="2"/>
  <c r="K576" i="2"/>
  <c r="K138" i="2"/>
  <c r="K234" i="2"/>
  <c r="K569" i="2"/>
  <c r="K255" i="2"/>
  <c r="K544" i="2"/>
  <c r="K445" i="2"/>
  <c r="K553" i="2"/>
  <c r="K365" i="2"/>
  <c r="K375" i="2"/>
  <c r="K285" i="2"/>
  <c r="K545" i="2"/>
  <c r="K291" i="2"/>
  <c r="K331" i="2"/>
  <c r="K591" i="2"/>
  <c r="K618" i="2"/>
  <c r="K509" i="2"/>
  <c r="K549" i="2"/>
  <c r="K501" i="2"/>
  <c r="K341" i="2"/>
  <c r="K313" i="2"/>
  <c r="K293" i="2"/>
  <c r="K23" i="2"/>
  <c r="K351" i="2"/>
  <c r="K359" i="2"/>
  <c r="K367" i="2"/>
  <c r="K379" i="2"/>
  <c r="K575" i="2"/>
  <c r="K673" i="2"/>
  <c r="K297" i="2"/>
  <c r="K337" i="2"/>
  <c r="K692" i="2"/>
  <c r="K435" i="2"/>
  <c r="K19" i="2"/>
  <c r="K35" i="2"/>
  <c r="K323" i="2"/>
  <c r="K339" i="2"/>
  <c r="K499" i="2"/>
  <c r="K451" i="2"/>
  <c r="K51" i="2"/>
  <c r="K63" i="2"/>
  <c r="K381" i="2"/>
  <c r="K625" i="2"/>
  <c r="K319" i="2"/>
  <c r="K523" i="2"/>
  <c r="K559" i="2"/>
  <c r="K369" i="2"/>
  <c r="K401" i="2"/>
  <c r="K563" i="2"/>
  <c r="K631" i="2"/>
  <c r="K483" i="2"/>
  <c r="K67" i="2"/>
  <c r="K199" i="2"/>
  <c r="K263" i="2"/>
  <c r="K391" i="2"/>
  <c r="K411" i="2"/>
  <c r="K539" i="2"/>
  <c r="K623" i="2"/>
  <c r="K95" i="2"/>
  <c r="K558" i="2"/>
  <c r="K374" i="2"/>
  <c r="K578" i="2"/>
  <c r="K550" i="2"/>
  <c r="K661" i="2"/>
  <c r="K289" i="2"/>
  <c r="K493" i="2"/>
  <c r="K527" i="2"/>
  <c r="K305" i="2"/>
  <c r="K567" i="2"/>
  <c r="K31" i="2"/>
  <c r="K143" i="2"/>
  <c r="K247" i="2"/>
  <c r="K387" i="2"/>
  <c r="K491" i="2"/>
  <c r="K139" i="2"/>
  <c r="K455" i="2"/>
  <c r="K547" i="2"/>
  <c r="K607" i="2"/>
  <c r="K311" i="2"/>
  <c r="K203" i="2"/>
  <c r="K615" i="2"/>
  <c r="K437" i="2"/>
  <c r="K283" i="2"/>
  <c r="K347" i="2"/>
  <c r="K407" i="2"/>
  <c r="K587" i="2"/>
  <c r="K671" i="2"/>
  <c r="K599" i="2"/>
  <c r="K299" i="2"/>
  <c r="K211" i="2"/>
  <c r="K147" i="2"/>
  <c r="K343" i="2"/>
  <c r="K719" i="2"/>
  <c r="K503" i="2"/>
  <c r="K515" i="2"/>
  <c r="K11" i="2"/>
  <c r="K27" i="2"/>
  <c r="K39" i="2"/>
  <c r="K83" i="2"/>
  <c r="K151" i="2"/>
  <c r="K159" i="2"/>
  <c r="K251" i="2"/>
  <c r="K271" i="2"/>
  <c r="K275" i="2"/>
  <c r="K279" i="2"/>
  <c r="K287" i="2"/>
  <c r="K315" i="2"/>
  <c r="K335" i="2"/>
  <c r="K355" i="2"/>
  <c r="K371" i="2"/>
  <c r="K383" i="2"/>
  <c r="K395" i="2"/>
  <c r="K399" i="2"/>
  <c r="K415" i="2"/>
  <c r="K443" i="2"/>
  <c r="K447" i="2"/>
  <c r="K459" i="2"/>
  <c r="K475" i="2"/>
  <c r="K495" i="2"/>
  <c r="K507" i="2"/>
  <c r="K511" i="2"/>
  <c r="K519" i="2"/>
  <c r="K543" i="2"/>
  <c r="K555" i="2"/>
  <c r="K571" i="2"/>
  <c r="K619" i="2"/>
  <c r="K439" i="2"/>
  <c r="K327" i="2"/>
  <c r="K307" i="2"/>
  <c r="K463" i="2"/>
  <c r="K302" i="2"/>
  <c r="K614" i="2"/>
  <c r="K585" i="2"/>
  <c r="K303" i="2"/>
  <c r="K603" i="2"/>
  <c r="K611" i="2"/>
  <c r="K363" i="2"/>
  <c r="K69" i="2"/>
  <c r="K425" i="2"/>
  <c r="K207" i="2"/>
  <c r="K531" i="2"/>
  <c r="K627" i="2"/>
  <c r="K663" i="2"/>
  <c r="K662" i="2"/>
  <c r="K356" i="2"/>
  <c r="K47" i="2"/>
  <c r="K639" i="2"/>
  <c r="K683" i="2"/>
  <c r="K667" i="2"/>
  <c r="K427" i="2"/>
  <c r="K651" i="2"/>
  <c r="K551" i="2"/>
  <c r="K647" i="2"/>
  <c r="K487" i="2"/>
  <c r="K579" i="2"/>
  <c r="K617" i="2"/>
  <c r="K674" i="2"/>
  <c r="K334" i="2"/>
  <c r="K525" i="2"/>
  <c r="K635" i="2"/>
  <c r="K474" i="2"/>
  <c r="K586" i="2"/>
  <c r="K386" i="2"/>
  <c r="K418" i="2"/>
  <c r="K290" i="2"/>
  <c r="K306" i="2"/>
  <c r="K314" i="2"/>
  <c r="K422" i="2"/>
  <c r="K610" i="2"/>
  <c r="K705" i="2"/>
  <c r="K486" i="2"/>
  <c r="K413" i="2"/>
  <c r="K666" i="2"/>
  <c r="K446" i="2"/>
  <c r="K684" i="2"/>
  <c r="K264" i="2"/>
  <c r="K332" i="2"/>
  <c r="K420" i="2"/>
  <c r="K472" i="2"/>
  <c r="K452" i="2"/>
  <c r="K156" i="2"/>
  <c r="K588" i="2"/>
  <c r="K632" i="2"/>
  <c r="K176" i="2"/>
  <c r="K624" i="2"/>
  <c r="K145" i="2"/>
  <c r="K700" i="2"/>
  <c r="K103" i="2"/>
  <c r="K471" i="2"/>
  <c r="K655" i="2"/>
  <c r="K707" i="2"/>
  <c r="K715" i="2"/>
  <c r="K636" i="2"/>
  <c r="K568" i="2"/>
  <c r="K235" i="2"/>
  <c r="K479" i="2"/>
  <c r="K535" i="2"/>
  <c r="K595" i="2"/>
  <c r="K711" i="2"/>
  <c r="K448" i="2"/>
  <c r="K419" i="2"/>
  <c r="K679" i="2"/>
  <c r="K699" i="2"/>
  <c r="K403" i="2"/>
  <c r="K119" i="2"/>
  <c r="K175" i="2"/>
  <c r="K659" i="2"/>
  <c r="K695" i="2"/>
  <c r="K687" i="2"/>
  <c r="K691" i="2"/>
  <c r="K111" i="2"/>
  <c r="K167" i="2"/>
  <c r="K295" i="2"/>
  <c r="K643" i="2"/>
  <c r="K703" i="2"/>
  <c r="K338" i="2"/>
  <c r="K442" i="2"/>
  <c r="K494" i="2"/>
  <c r="K592" i="2"/>
  <c r="K669" i="2"/>
  <c r="K665" i="2"/>
  <c r="K701" i="2"/>
  <c r="K273" i="2"/>
  <c r="K421" i="2"/>
  <c r="K384" i="2"/>
  <c r="K429" i="2"/>
  <c r="K253" i="2"/>
  <c r="K141" i="2"/>
  <c r="K170" i="2"/>
  <c r="K656" i="2"/>
  <c r="K441" i="2"/>
  <c r="K265" i="2"/>
  <c r="K597" i="2"/>
  <c r="K696" i="2"/>
  <c r="K497" i="2"/>
  <c r="K605" i="2"/>
  <c r="K464" i="2"/>
  <c r="K524" i="2"/>
  <c r="K540" i="2"/>
  <c r="K708" i="2"/>
  <c r="K220" i="2"/>
  <c r="K284" i="2"/>
  <c r="K408" i="2"/>
  <c r="K584" i="2"/>
  <c r="K644" i="2"/>
  <c r="K309" i="2"/>
  <c r="K240" i="2"/>
  <c r="K324" i="2"/>
  <c r="K340" i="2"/>
  <c r="K360" i="2"/>
  <c r="K396" i="2"/>
  <c r="K412" i="2"/>
  <c r="K652" i="2"/>
  <c r="K296" i="2"/>
  <c r="K400" i="2"/>
  <c r="K444" i="2"/>
  <c r="K468" i="2"/>
  <c r="K536" i="2"/>
  <c r="K633" i="2"/>
  <c r="K357" i="2"/>
  <c r="K433" i="2"/>
  <c r="K709" i="2"/>
  <c r="K564" i="2"/>
  <c r="K152" i="2"/>
  <c r="K388" i="2"/>
  <c r="K404" i="2"/>
  <c r="K532" i="2"/>
  <c r="K648" i="2"/>
  <c r="K660" i="2"/>
  <c r="K288" i="2"/>
  <c r="K328" i="2"/>
  <c r="K392" i="2"/>
  <c r="K416" i="2"/>
  <c r="K476" i="2"/>
  <c r="K712" i="2"/>
  <c r="K469" i="2"/>
  <c r="K50" i="2"/>
  <c r="K89" i="2"/>
  <c r="K161" i="2"/>
  <c r="K165" i="2"/>
  <c r="K541" i="2"/>
  <c r="K198" i="2"/>
  <c r="K41" i="2"/>
  <c r="K197" i="2"/>
  <c r="K456" i="2"/>
  <c r="K48" i="2"/>
  <c r="K212" i="2"/>
  <c r="K352" i="2"/>
  <c r="K480" i="2"/>
  <c r="K572" i="2"/>
  <c r="K596" i="2"/>
  <c r="K704" i="2"/>
  <c r="K716" i="2"/>
  <c r="K216" i="2"/>
  <c r="K268" i="2"/>
  <c r="K528" i="2"/>
  <c r="K600" i="2"/>
  <c r="K628" i="2"/>
  <c r="K645" i="2"/>
  <c r="K301" i="2"/>
  <c r="K542" i="2"/>
  <c r="K46" i="2"/>
  <c r="K114" i="2"/>
  <c r="K206" i="2"/>
  <c r="K358" i="2"/>
  <c r="K366" i="2"/>
  <c r="K398" i="2"/>
  <c r="K582" i="2"/>
  <c r="K229" i="2"/>
  <c r="K349" i="2"/>
  <c r="K589" i="2"/>
  <c r="K613" i="2"/>
  <c r="K125" i="2"/>
  <c r="K13" i="2"/>
  <c r="K57" i="2"/>
  <c r="K461" i="2"/>
  <c r="K477" i="2"/>
  <c r="K521" i="2"/>
  <c r="K577" i="2"/>
  <c r="K321" i="2"/>
  <c r="K105" i="2"/>
  <c r="K513" i="2"/>
  <c r="K653" i="2"/>
  <c r="K373" i="2"/>
  <c r="K310" i="2"/>
  <c r="K685" i="2"/>
  <c r="K637" i="2"/>
  <c r="K606" i="2"/>
  <c r="K61" i="2"/>
  <c r="K465" i="2"/>
  <c r="K677" i="2"/>
  <c r="K721" i="2"/>
  <c r="K697" i="2"/>
  <c r="K562" i="2"/>
  <c r="K266" i="2"/>
  <c r="K298" i="2"/>
  <c r="K322" i="2"/>
  <c r="K370" i="2"/>
  <c r="K410" i="2"/>
  <c r="K470" i="2"/>
  <c r="K570" i="2"/>
  <c r="K634" i="2"/>
  <c r="K2" i="2"/>
  <c r="K397" i="2"/>
  <c r="K169" i="2"/>
  <c r="K325" i="2"/>
  <c r="K389" i="2"/>
  <c r="K485" i="2"/>
  <c r="K609" i="2"/>
  <c r="K473" i="2"/>
  <c r="K533" i="2"/>
  <c r="K565" i="2"/>
  <c r="K681" i="2"/>
  <c r="K689" i="2"/>
  <c r="K717" i="2"/>
  <c r="K241" i="2"/>
  <c r="K353" i="2"/>
  <c r="K641" i="2"/>
  <c r="K458" i="2"/>
  <c r="K506" i="2"/>
  <c r="K602" i="2"/>
  <c r="K329" i="2"/>
  <c r="K393" i="2"/>
  <c r="K505" i="2"/>
  <c r="K537" i="2"/>
  <c r="K649" i="2"/>
  <c r="K237" i="2"/>
  <c r="K557" i="2"/>
  <c r="K621" i="2"/>
  <c r="K693" i="2"/>
  <c r="K517" i="2"/>
  <c r="K573" i="2"/>
  <c r="K529" i="2"/>
  <c r="K466" i="2"/>
  <c r="K713" i="2"/>
  <c r="K481" i="2"/>
  <c r="K593" i="2"/>
  <c r="K534" i="2"/>
  <c r="K574" i="2"/>
  <c r="K622" i="2"/>
  <c r="K654" i="2"/>
  <c r="K18" i="2"/>
  <c r="K58" i="2"/>
  <c r="K102" i="2"/>
  <c r="K130" i="2"/>
  <c r="K154" i="2"/>
  <c r="K166" i="2"/>
  <c r="K210" i="2"/>
  <c r="K214" i="2"/>
  <c r="K246" i="2"/>
  <c r="K254" i="2"/>
  <c r="K278" i="2"/>
  <c r="K282" i="2"/>
  <c r="K354" i="2"/>
  <c r="K362" i="2"/>
  <c r="K382" i="2"/>
  <c r="K406" i="2"/>
  <c r="K414" i="2"/>
  <c r="K426" i="2"/>
  <c r="K434" i="2"/>
  <c r="K454" i="2"/>
  <c r="K462" i="2"/>
  <c r="K490" i="2"/>
  <c r="K498" i="2"/>
  <c r="K530" i="2"/>
  <c r="K590" i="2"/>
  <c r="K650" i="2"/>
  <c r="K686" i="2"/>
  <c r="K694" i="2"/>
  <c r="K706" i="2"/>
  <c r="K217" i="2"/>
  <c r="K14" i="2"/>
  <c r="K78" i="2"/>
  <c r="K82" i="2"/>
  <c r="K90" i="2"/>
  <c r="K98" i="2"/>
  <c r="K110" i="2"/>
  <c r="K142" i="2"/>
  <c r="K150" i="2"/>
  <c r="K158" i="2"/>
  <c r="K190" i="2"/>
  <c r="K230" i="2"/>
  <c r="K262" i="2"/>
  <c r="K286" i="2"/>
  <c r="K350" i="2"/>
  <c r="K394" i="2"/>
  <c r="K478" i="2"/>
  <c r="K526" i="2"/>
  <c r="K538" i="2"/>
  <c r="K598" i="2"/>
  <c r="K642" i="2"/>
  <c r="K714" i="2"/>
  <c r="K225" i="2"/>
  <c r="K277" i="2"/>
  <c r="K345" i="2"/>
  <c r="K385" i="2"/>
  <c r="K601" i="2"/>
  <c r="K33" i="2"/>
  <c r="K718" i="2"/>
  <c r="K10" i="2"/>
  <c r="K86" i="2"/>
  <c r="K202" i="2"/>
  <c r="K238" i="2"/>
  <c r="K242" i="2"/>
  <c r="K294" i="2"/>
  <c r="K342" i="2"/>
  <c r="K378" i="2"/>
  <c r="K546" i="2"/>
  <c r="K658" i="2"/>
  <c r="K482" i="2"/>
  <c r="K522" i="2"/>
  <c r="K566" i="2"/>
  <c r="K594" i="2"/>
  <c r="K630" i="2"/>
  <c r="K638" i="2"/>
  <c r="K646" i="2"/>
  <c r="K682" i="2"/>
  <c r="K690" i="2"/>
  <c r="K710" i="2"/>
  <c r="K226" i="2"/>
  <c r="K94" i="2"/>
  <c r="K346" i="2"/>
  <c r="K34" i="2"/>
  <c r="K62" i="2"/>
  <c r="K70" i="2"/>
  <c r="K118" i="2"/>
  <c r="K126" i="2"/>
  <c r="K134" i="2"/>
  <c r="K162" i="2"/>
  <c r="K174" i="2"/>
  <c r="K178" i="2"/>
  <c r="K218" i="2"/>
  <c r="K250" i="2"/>
  <c r="K258" i="2"/>
  <c r="K270" i="2"/>
  <c r="K274" i="2"/>
  <c r="K326" i="2"/>
  <c r="K390" i="2"/>
  <c r="K402" i="2"/>
  <c r="K438" i="2"/>
  <c r="K450" i="2"/>
  <c r="K502" i="2"/>
  <c r="K510" i="2"/>
  <c r="K626" i="2"/>
  <c r="K702" i="2"/>
  <c r="K514" i="2"/>
  <c r="K26" i="2"/>
  <c r="K42" i="2"/>
  <c r="K430" i="2"/>
  <c r="K678" i="2"/>
  <c r="K698" i="2"/>
  <c r="K146" i="2"/>
  <c r="K222" i="2"/>
  <c r="K318" i="2"/>
  <c r="K330" i="2"/>
  <c r="K518" i="2"/>
  <c r="K55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1ACD55-DBAA-452E-BC3D-03C1D95E47DE}" keepAlive="1" name="ModelConnection_ExternalData_1" description="Data Model" type="5" refreshedVersion="8" minRefreshableVersion="5" saveData="1">
    <dbPr connection="Data Model Connection" command="DRILLTHROUGH MAXROWS 1000 SELECT FROM [Model] WHERE (([Salary].[ماه].[All],[Measures].[Count of جنسیت],[Info].[جنسیت].&amp;[زن])) RETURN [$Info].[کد پرسنلی],[$Info].[دپارتمان],[$Info].[نام],[$Info].[جنسیت],[$Info].[نوع قرارداد],[$Info].[تاریخ تولد],[$Info].[سن],[$Info].[ماه تولد]" commandType="4"/>
    <extLst>
      <ext xmlns:x15="http://schemas.microsoft.com/office/spreadsheetml/2010/11/main" uri="{DE250136-89BD-433C-8126-D09CA5730AF9}">
        <x15:connection id="" model="1"/>
      </ext>
    </extLst>
  </connection>
  <connection id="2" xr16:uid="{7A88ACDF-F63C-4100-B16A-83B0222A1AF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AF4262A-0CD0-4C17-AC05-249888651FAA}" name="WorksheetConnection_Rev01.xlsx!Info" type="102" refreshedVersion="8" minRefreshableVersion="5">
    <extLst>
      <ext xmlns:x15="http://schemas.microsoft.com/office/spreadsheetml/2010/11/main" uri="{DE250136-89BD-433C-8126-D09CA5730AF9}">
        <x15:connection id="Info" autoDelete="1">
          <x15:rangePr sourceName="_xlcn.WorksheetConnection_Rev01.xlsxInfo1"/>
        </x15:connection>
      </ext>
    </extLst>
  </connection>
  <connection id="4" xr16:uid="{9722692E-58A3-47C9-A3D2-12FA28B71FA5}" name="WorksheetConnection_Rev01.xlsx!Salary" type="102" refreshedVersion="8" minRefreshableVersion="5">
    <extLst>
      <ext xmlns:x15="http://schemas.microsoft.com/office/spreadsheetml/2010/11/main" uri="{DE250136-89BD-433C-8126-D09CA5730AF9}">
        <x15:connection id="Salary">
          <x15:rangePr sourceName="_xlcn.WorksheetConnection_Rev01.xlsxSalary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alary].[ماه].&amp;[فروردین]}"/>
  </metadataStrings>
  <mdxMetadata count="1">
    <mdx n="0" f="s">
      <ms ns="1" c="0"/>
    </mdx>
  </mdxMetadata>
  <valueMetadata count="1">
    <bk>
      <rc t="1" v="0"/>
    </bk>
  </valueMetadata>
</metadata>
</file>

<file path=xl/sharedStrings.xml><?xml version="1.0" encoding="utf-8"?>
<sst xmlns="http://schemas.openxmlformats.org/spreadsheetml/2006/main" count="1119" uniqueCount="116">
  <si>
    <t>فناوری اطلاعات</t>
  </si>
  <si>
    <t>سیما رضوی</t>
  </si>
  <si>
    <t>زن</t>
  </si>
  <si>
    <t>تمام وقت</t>
  </si>
  <si>
    <t>کنترل هزینه</t>
  </si>
  <si>
    <t>هدا محمدی</t>
  </si>
  <si>
    <t>پاره وقت</t>
  </si>
  <si>
    <t>منابع انسانی</t>
  </si>
  <si>
    <t>رضا ابدی</t>
  </si>
  <si>
    <t>مرد</t>
  </si>
  <si>
    <t>حقوقی و قراردادی</t>
  </si>
  <si>
    <t>محمود قیصری</t>
  </si>
  <si>
    <t>مهندسی</t>
  </si>
  <si>
    <t>نیلوفر محبی</t>
  </si>
  <si>
    <t>ایمان کیایی</t>
  </si>
  <si>
    <t>نیما موحدی</t>
  </si>
  <si>
    <t>شیرین مولودی</t>
  </si>
  <si>
    <t>محمد کریمی</t>
  </si>
  <si>
    <t>نیکان علوی</t>
  </si>
  <si>
    <t>سینا راد</t>
  </si>
  <si>
    <t>شیدا ضیایی</t>
  </si>
  <si>
    <t>حسن تاج</t>
  </si>
  <si>
    <t>بهار رستمی</t>
  </si>
  <si>
    <t>ندا گرگانی</t>
  </si>
  <si>
    <t>علی اسفندیاری</t>
  </si>
  <si>
    <t>امید ریگی</t>
  </si>
  <si>
    <t>نعیمه بهبهانی</t>
  </si>
  <si>
    <t>مصطفی صفایی</t>
  </si>
  <si>
    <t>زهرا مینایی</t>
  </si>
  <si>
    <t>محمدعلی ایمانی</t>
  </si>
  <si>
    <t>علی سلماسی</t>
  </si>
  <si>
    <t>امید بهروز</t>
  </si>
  <si>
    <t>فاطمه طالکویی</t>
  </si>
  <si>
    <t>اشرف زومند</t>
  </si>
  <si>
    <t>رضا لطفی</t>
  </si>
  <si>
    <t>هیربد عشقی</t>
  </si>
  <si>
    <t>احسان محمدی</t>
  </si>
  <si>
    <t>عبدالله دیانی</t>
  </si>
  <si>
    <t>افشین پیروانی</t>
  </si>
  <si>
    <t>مهدی مهدوی کیا</t>
  </si>
  <si>
    <t>علی دایی</t>
  </si>
  <si>
    <t>رضا رضایی</t>
  </si>
  <si>
    <t>هما سلیمی</t>
  </si>
  <si>
    <t>حسن احمدی</t>
  </si>
  <si>
    <t>حسین ریوندی</t>
  </si>
  <si>
    <t>علی صمدی</t>
  </si>
  <si>
    <t>محمدعلی جنتی</t>
  </si>
  <si>
    <t>سیما زرهی</t>
  </si>
  <si>
    <t>حمید بلوچی</t>
  </si>
  <si>
    <t>حامد دیداد</t>
  </si>
  <si>
    <t>رضا اکبری</t>
  </si>
  <si>
    <t>بابک فرهمند</t>
  </si>
  <si>
    <t>مهدی بابایی</t>
  </si>
  <si>
    <t>محمود زیبانیا</t>
  </si>
  <si>
    <t>بشری پیروزی</t>
  </si>
  <si>
    <t>هادی پویانفرد</t>
  </si>
  <si>
    <t>امیرحسین اسماعیلی</t>
  </si>
  <si>
    <t>امیرغفاری</t>
  </si>
  <si>
    <t>فرانک زمانی</t>
  </si>
  <si>
    <t>مژده حلوایی</t>
  </si>
  <si>
    <t>سعیده سکندری</t>
  </si>
  <si>
    <t>سامان قدوسی</t>
  </si>
  <si>
    <t>علی مهدوی</t>
  </si>
  <si>
    <t>علیرضا محمدی</t>
  </si>
  <si>
    <t>مهدی فکری</t>
  </si>
  <si>
    <t>ندا روحبخش</t>
  </si>
  <si>
    <t>محسن مکرمی</t>
  </si>
  <si>
    <t>انیس طاهری</t>
  </si>
  <si>
    <t>شهرام مقدم</t>
  </si>
  <si>
    <t>کد پرسنلی</t>
  </si>
  <si>
    <t>دپارتمان</t>
  </si>
  <si>
    <t>نام</t>
  </si>
  <si>
    <t>جنسیت</t>
  </si>
  <si>
    <t>نوع قرارداد</t>
  </si>
  <si>
    <t>تاریخ تولد</t>
  </si>
  <si>
    <t>سن</t>
  </si>
  <si>
    <t>ماه تولد</t>
  </si>
  <si>
    <t>شاخص ارزیابی</t>
  </si>
  <si>
    <t>ماه</t>
  </si>
  <si>
    <t>پایه حقوق</t>
  </si>
  <si>
    <t>پاداش</t>
  </si>
  <si>
    <t>ناخالص</t>
  </si>
  <si>
    <t>بیمه کارفرما</t>
  </si>
  <si>
    <t>بیمه</t>
  </si>
  <si>
    <t>مالیات</t>
  </si>
  <si>
    <t>خالص دریافتی</t>
  </si>
  <si>
    <t>فروردین</t>
  </si>
  <si>
    <t>اردیبهشت</t>
  </si>
  <si>
    <t>خرداد</t>
  </si>
  <si>
    <t>تیر</t>
  </si>
  <si>
    <t>مرداد</t>
  </si>
  <si>
    <t>شهریور</t>
  </si>
  <si>
    <t>مهر</t>
  </si>
  <si>
    <t>آبان</t>
  </si>
  <si>
    <t>آذر</t>
  </si>
  <si>
    <t>دی</t>
  </si>
  <si>
    <t>بهمن</t>
  </si>
  <si>
    <t>اسفند</t>
  </si>
  <si>
    <t>Row Labels</t>
  </si>
  <si>
    <t>Grand Total</t>
  </si>
  <si>
    <t>داشبورد منابع انسانی</t>
  </si>
  <si>
    <t>داشبورد منابع مالی</t>
  </si>
  <si>
    <t>Count of جنسیت</t>
  </si>
  <si>
    <t>Info[کد پرسنلی]</t>
  </si>
  <si>
    <t>Info[دپارتمان]</t>
  </si>
  <si>
    <t>Info[نام]</t>
  </si>
  <si>
    <t>Info[جنسیت]</t>
  </si>
  <si>
    <t>Info[نوع قرارداد]</t>
  </si>
  <si>
    <t>Info[تاریخ تولد]</t>
  </si>
  <si>
    <t>Info[سن]</t>
  </si>
  <si>
    <t>Info[ماه تولد]</t>
  </si>
  <si>
    <t>Data returned for Count of جنسیت, زن, All (First 1000 rows).</t>
  </si>
  <si>
    <t>Column Labels</t>
  </si>
  <si>
    <t xml:space="preserve">تمام وقت </t>
  </si>
  <si>
    <t>ROUND(AVERAGEIFS(Salary[شاخص ارزیابی],Salary[ماه],Calc!B1),0)</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</si>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</sst>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960429]yyyy/mm/dd;@"/>
    <numFmt numFmtId="165" formatCode="#,###\ \ت\و\م\ا\ن"/>
    <numFmt numFmtId="166" formatCode="#,###\ \ت\و\م\ا\ن;General;;@"/>
  </numFmts>
  <fonts count="11">
    <font>
      <sz val="11"/>
      <color theme="1"/>
      <name val="Calibri"/>
      <family val="2"/>
      <scheme val="minor"/>
    </font>
    <font>
      <b/>
      <sz val="11"/>
      <color theme="1"/>
      <name val="IRANSans(FaNum)"/>
      <family val="1"/>
    </font>
    <font>
      <b/>
      <sz val="8"/>
      <color theme="1"/>
      <name val="IRANSans(FaNum)"/>
      <family val="1"/>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1"/>
      <color indexed="9"/>
      <name val="Calibri"/>
      <family val="2"/>
      <scheme val="minor"/>
    </font>
    <font>
      <sz val="48"/>
      <color rgb="FF096487"/>
      <name val="Webdings"/>
      <family val="1"/>
      <charset val="2"/>
    </font>
    <font>
      <sz val="48"/>
      <color rgb="FFFF782E"/>
      <name val="Webdings"/>
      <family val="1"/>
      <charset val="2"/>
    </font>
    <font>
      <sz val="8"/>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1" tint="0.499984740745262"/>
        <bgColor indexed="64"/>
      </patternFill>
    </fill>
    <fill>
      <patternFill patternType="solid">
        <fgColor theme="9" tint="0.79998168889431442"/>
        <bgColor indexed="64"/>
      </patternFill>
    </fill>
    <fill>
      <patternFill patternType="solid">
        <fgColor theme="0"/>
        <bgColor indexed="64"/>
      </patternFill>
    </fill>
  </fills>
  <borders count="10">
    <border>
      <left/>
      <right/>
      <top/>
      <bottom/>
      <diagonal/>
    </border>
    <border>
      <left/>
      <right style="thin">
        <color theme="2" tint="-0.24994659260841701"/>
      </right>
      <top/>
      <bottom style="thin">
        <color theme="2" tint="-0.24994659260841701"/>
      </bottom>
      <diagonal/>
    </border>
    <border>
      <left style="thin">
        <color theme="2" tint="-0.24994659260841701"/>
      </left>
      <right style="thin">
        <color theme="2" tint="-0.24994659260841701"/>
      </right>
      <top/>
      <bottom style="thin">
        <color theme="2" tint="-0.24994659260841701"/>
      </bottom>
      <diagonal/>
    </border>
    <border>
      <left style="thin">
        <color theme="2" tint="-0.24994659260841701"/>
      </left>
      <right/>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s>
  <cellStyleXfs count="2">
    <xf numFmtId="0" fontId="0" fillId="0" borderId="0"/>
    <xf numFmtId="0" fontId="6" fillId="0" borderId="0" applyNumberFormat="0" applyFill="0" applyBorder="0" applyAlignment="0" applyProtection="0"/>
  </cellStyleXfs>
  <cellXfs count="38">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xf>
    <xf numFmtId="165" fontId="0" fillId="0" borderId="5" xfId="0" applyNumberFormat="1" applyBorder="1" applyAlignment="1">
      <alignment horizontal="center" readingOrder="2"/>
    </xf>
    <xf numFmtId="165" fontId="0" fillId="0" borderId="6" xfId="0" applyNumberFormat="1" applyBorder="1" applyAlignment="1">
      <alignment horizontal="center" readingOrder="2"/>
    </xf>
    <xf numFmtId="0" fontId="0" fillId="0" borderId="7" xfId="0" applyBorder="1" applyAlignment="1">
      <alignment horizontal="center" vertical="center"/>
    </xf>
    <xf numFmtId="0" fontId="0" fillId="0" borderId="8" xfId="0" applyBorder="1" applyAlignment="1">
      <alignment horizontal="center"/>
    </xf>
    <xf numFmtId="165" fontId="0" fillId="0" borderId="8" xfId="0" applyNumberFormat="1" applyBorder="1" applyAlignment="1">
      <alignment horizontal="center" readingOrder="2"/>
    </xf>
    <xf numFmtId="165" fontId="0" fillId="0" borderId="9" xfId="0" applyNumberFormat="1" applyBorder="1" applyAlignment="1">
      <alignment horizontal="center" readingOrder="2"/>
    </xf>
    <xf numFmtId="0" fontId="0" fillId="0" borderId="6" xfId="0" applyBorder="1" applyAlignment="1">
      <alignment horizontal="center" vertical="center"/>
    </xf>
    <xf numFmtId="165" fontId="0" fillId="0" borderId="4" xfId="0" applyNumberFormat="1" applyBorder="1" applyAlignment="1">
      <alignment horizontal="center" readingOrder="2"/>
    </xf>
    <xf numFmtId="0" fontId="0" fillId="0" borderId="9" xfId="0" applyBorder="1" applyAlignment="1">
      <alignment horizontal="center" vertical="center"/>
    </xf>
    <xf numFmtId="165" fontId="0" fillId="0" borderId="7" xfId="0" applyNumberFormat="1" applyBorder="1" applyAlignment="1">
      <alignment horizontal="center" readingOrder="2"/>
    </xf>
    <xf numFmtId="0" fontId="2" fillId="0" borderId="2" xfId="0" applyFont="1" applyBorder="1" applyAlignment="1">
      <alignment horizontal="center"/>
    </xf>
    <xf numFmtId="0" fontId="0" fillId="0" borderId="0" xfId="0" pivotButton="1"/>
    <xf numFmtId="0" fontId="0" fillId="0" borderId="0" xfId="0" applyAlignment="1">
      <alignment horizontal="left"/>
    </xf>
    <xf numFmtId="166" fontId="0" fillId="0" borderId="5" xfId="0" applyNumberFormat="1" applyBorder="1" applyAlignment="1">
      <alignment horizontal="center" readingOrder="2"/>
    </xf>
    <xf numFmtId="0" fontId="6" fillId="3" borderId="0" xfId="1" applyFill="1" applyAlignment="1">
      <alignment horizontal="center" vertical="center"/>
    </xf>
    <xf numFmtId="0" fontId="3" fillId="3" borderId="0" xfId="0" applyFont="1" applyFill="1" applyAlignment="1">
      <alignment horizontal="center"/>
    </xf>
    <xf numFmtId="0" fontId="7" fillId="3" borderId="0" xfId="0" applyFont="1" applyFill="1" applyAlignment="1">
      <alignment horizontal="center"/>
    </xf>
    <xf numFmtId="0" fontId="7" fillId="2" borderId="0" xfId="0" applyFont="1" applyFill="1" applyAlignment="1">
      <alignment horizontal="center" vertical="center"/>
    </xf>
    <xf numFmtId="0" fontId="5" fillId="2" borderId="0" xfId="1" applyFont="1" applyFill="1" applyAlignment="1">
      <alignment horizontal="center" vertical="center"/>
    </xf>
    <xf numFmtId="0" fontId="0" fillId="4" borderId="0" xfId="0" applyFill="1"/>
    <xf numFmtId="14" fontId="0" fillId="0" borderId="0" xfId="0" applyNumberFormat="1"/>
    <xf numFmtId="0" fontId="4" fillId="0" borderId="0" xfId="0" applyFont="1"/>
    <xf numFmtId="0" fontId="0" fillId="0" borderId="0" xfId="0" applyNumberFormat="1"/>
    <xf numFmtId="0" fontId="8" fillId="0" borderId="0" xfId="0" applyFont="1"/>
    <xf numFmtId="0" fontId="9" fillId="0" borderId="0" xfId="0" applyFont="1"/>
    <xf numFmtId="0" fontId="0" fillId="0" borderId="0" xfId="0" applyFont="1"/>
    <xf numFmtId="0" fontId="0" fillId="0" borderId="0" xfId="0" pivotButton="1" applyAlignment="1">
      <alignment horizontal="center" vertical="center"/>
    </xf>
    <xf numFmtId="0" fontId="0" fillId="5" borderId="0" xfId="0" applyFill="1"/>
    <xf numFmtId="0" fontId="0" fillId="0" borderId="8" xfId="0" applyBorder="1" applyAlignment="1">
      <alignment horizontal="center" vertical="center"/>
    </xf>
  </cellXfs>
  <cellStyles count="2">
    <cellStyle name="Hyperlink" xfId="1" builtinId="8"/>
    <cellStyle name="Normal" xfId="0" builtinId="0"/>
  </cellStyles>
  <dxfs count="219">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alignment vertical="center"/>
    </dxf>
    <dxf>
      <alignment horizontal="center"/>
    </dxf>
    <dxf>
      <numFmt numFmtId="0" formatCode="General"/>
      <alignment horizontal="center" vertical="center" textRotation="0" wrapText="0" indent="0" justifyLastLine="0" shrinkToFit="0" readingOrder="0"/>
      <border diagonalUp="0" diagonalDown="0">
        <left style="thin">
          <color theme="2" tint="-0.24994659260841701"/>
        </left>
        <right style="thin">
          <color theme="2" tint="-0.24994659260841701"/>
        </right>
        <top style="thin">
          <color theme="2" tint="-0.24994659260841701"/>
        </top>
        <bottom style="thin">
          <color theme="2" tint="-0.24994659260841701"/>
        </bottom>
        <vertical/>
        <horizontal/>
      </border>
    </dxf>
    <dxf>
      <numFmt numFmtId="165" formatCode="#,###\ \ت\و\م\ا\ن"/>
      <fill>
        <patternFill patternType="none">
          <fgColor indexed="64"/>
          <bgColor auto="1"/>
        </patternFill>
      </fill>
      <alignment horizontal="center" vertical="bottom" textRotation="0" wrapText="0" indent="0" justifyLastLine="0" shrinkToFit="0" readingOrder="2"/>
      <border diagonalUp="0" diagonalDown="0" outline="0">
        <left style="thin">
          <color theme="2" tint="-0.24994659260841701"/>
        </left>
        <right/>
        <top style="thin">
          <color theme="2" tint="-0.24994659260841701"/>
        </top>
        <bottom style="thin">
          <color theme="2" tint="-0.24994659260841701"/>
        </bottom>
      </border>
    </dxf>
    <dxf>
      <numFmt numFmtId="166" formatCode="#,###\ \ت\و\م\ا\ن;General;;@"/>
      <fill>
        <patternFill patternType="none">
          <fgColor indexed="64"/>
          <bgColor auto="1"/>
        </patternFill>
      </fill>
      <alignment horizontal="center" vertical="bottom" textRotation="0" wrapText="0" indent="0" justifyLastLine="0" shrinkToFit="0" readingOrder="0"/>
      <border diagonalUp="0" diagonalDown="0">
        <left style="thin">
          <color theme="2" tint="-0.24994659260841701"/>
        </left>
        <right style="thin">
          <color theme="2" tint="-0.24994659260841701"/>
        </right>
        <top style="thin">
          <color theme="2" tint="-0.24994659260841701"/>
        </top>
        <bottom style="thin">
          <color theme="2" tint="-0.24994659260841701"/>
        </bottom>
      </border>
    </dxf>
    <dxf>
      <numFmt numFmtId="165" formatCode="#,###\ \ت\و\م\ا\ن"/>
      <fill>
        <patternFill patternType="none">
          <fgColor indexed="64"/>
          <bgColor auto="1"/>
        </patternFill>
      </fill>
      <alignment horizontal="center" vertical="bottom" textRotation="0" wrapText="0" indent="0" justifyLastLine="0" shrinkToFit="0" readingOrder="2"/>
      <border diagonalUp="0" diagonalDown="0" outline="0">
        <left style="thin">
          <color theme="2" tint="-0.24994659260841701"/>
        </left>
        <right style="thin">
          <color theme="2" tint="-0.24994659260841701"/>
        </right>
        <top style="thin">
          <color theme="2" tint="-0.24994659260841701"/>
        </top>
        <bottom style="thin">
          <color theme="2" tint="-0.24994659260841701"/>
        </bottom>
      </border>
    </dxf>
    <dxf>
      <numFmt numFmtId="165" formatCode="#,###\ \ت\و\م\ا\ن"/>
      <fill>
        <patternFill patternType="none">
          <fgColor indexed="64"/>
          <bgColor auto="1"/>
        </patternFill>
      </fill>
      <alignment horizontal="center" vertical="bottom" textRotation="0" wrapText="0" indent="0" justifyLastLine="0" shrinkToFit="0" readingOrder="2"/>
      <border diagonalUp="0" diagonalDown="0" outline="0">
        <left style="thin">
          <color theme="2" tint="-0.24994659260841701"/>
        </left>
        <right style="thin">
          <color theme="2" tint="-0.24994659260841701"/>
        </right>
        <top style="thin">
          <color theme="2" tint="-0.24994659260841701"/>
        </top>
        <bottom style="thin">
          <color theme="2" tint="-0.24994659260841701"/>
        </bottom>
      </border>
    </dxf>
    <dxf>
      <numFmt numFmtId="165" formatCode="#,###\ \ت\و\م\ا\ن"/>
      <fill>
        <patternFill patternType="none">
          <fgColor indexed="64"/>
          <bgColor auto="1"/>
        </patternFill>
      </fill>
      <alignment horizontal="center" vertical="bottom" textRotation="0" wrapText="0" indent="0" justifyLastLine="0" shrinkToFit="0" readingOrder="2"/>
      <border diagonalUp="0" diagonalDown="0" outline="0">
        <left style="thin">
          <color theme="2" tint="-0.24994659260841701"/>
        </left>
        <right style="thin">
          <color theme="2" tint="-0.24994659260841701"/>
        </right>
        <top style="thin">
          <color theme="2" tint="-0.24994659260841701"/>
        </top>
        <bottom style="thin">
          <color theme="2" tint="-0.24994659260841701"/>
        </bottom>
      </border>
    </dxf>
    <dxf>
      <numFmt numFmtId="165" formatCode="#,###\ \ت\و\م\ا\ن"/>
      <fill>
        <patternFill patternType="none">
          <fgColor indexed="64"/>
          <bgColor auto="1"/>
        </patternFill>
      </fill>
      <alignment horizontal="center" vertical="bottom" textRotation="0" wrapText="0" indent="0" justifyLastLine="0" shrinkToFit="0" readingOrder="2"/>
      <border diagonalUp="0" diagonalDown="0" outline="0">
        <left style="thin">
          <color theme="2" tint="-0.24994659260841701"/>
        </left>
        <right style="thin">
          <color theme="2" tint="-0.24994659260841701"/>
        </right>
        <top style="thin">
          <color theme="2" tint="-0.24994659260841701"/>
        </top>
        <bottom style="thin">
          <color theme="2" tint="-0.24994659260841701"/>
        </bottom>
      </border>
    </dxf>
    <dxf>
      <numFmt numFmtId="165" formatCode="#,###\ \ت\و\م\ا\ن"/>
      <fill>
        <patternFill patternType="none">
          <fgColor indexed="64"/>
          <bgColor auto="1"/>
        </patternFill>
      </fill>
      <alignment horizontal="center" vertical="bottom" textRotation="0" wrapText="0" indent="0" justifyLastLine="0" shrinkToFit="0" readingOrder="2"/>
      <border diagonalUp="0" diagonalDown="0" outline="0">
        <left style="thin">
          <color theme="2" tint="-0.24994659260841701"/>
        </left>
        <right style="thin">
          <color theme="2" tint="-0.24994659260841701"/>
        </right>
        <top style="thin">
          <color theme="2" tint="-0.24994659260841701"/>
        </top>
        <bottom style="thin">
          <color theme="2" tint="-0.24994659260841701"/>
        </bottom>
      </border>
    </dxf>
    <dxf>
      <fill>
        <patternFill patternType="none">
          <fgColor indexed="64"/>
          <bgColor auto="1"/>
        </patternFill>
      </fill>
      <alignment horizontal="center" vertical="bottom" textRotation="0" wrapText="0" indent="0" justifyLastLine="0" shrinkToFit="0" readingOrder="0"/>
      <border diagonalUp="0" diagonalDown="0" outline="0">
        <left style="thin">
          <color theme="2" tint="-0.24994659260841701"/>
        </left>
        <right style="thin">
          <color theme="2" tint="-0.24994659260841701"/>
        </right>
        <top style="thin">
          <color theme="2" tint="-0.24994659260841701"/>
        </top>
        <bottom style="thin">
          <color theme="2" tint="-0.24994659260841701"/>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theme="2" tint="-0.24994659260841701"/>
        </left>
        <right style="thin">
          <color theme="2" tint="-0.24994659260841701"/>
        </right>
        <top style="thin">
          <color theme="2" tint="-0.24994659260841701"/>
        </top>
        <bottom style="thin">
          <color theme="2" tint="-0.24994659260841701"/>
        </bottom>
      </border>
    </dxf>
    <dxf>
      <fill>
        <patternFill patternType="none">
          <fgColor indexed="64"/>
          <bgColor auto="1"/>
        </patternFill>
      </fill>
      <alignment horizontal="center" vertical="center" textRotation="0" wrapText="0" indent="0" justifyLastLine="0" shrinkToFit="0" readingOrder="0"/>
      <border diagonalUp="0" diagonalDown="0" outline="0">
        <left/>
        <right style="thin">
          <color theme="2" tint="-0.24994659260841701"/>
        </right>
        <top style="thin">
          <color theme="2" tint="-0.24994659260841701"/>
        </top>
        <bottom style="thin">
          <color theme="2" tint="-0.24994659260841701"/>
        </bottom>
      </border>
    </dxf>
    <dxf>
      <border outline="0">
        <top style="thin">
          <color theme="2" tint="-0.24994659260841701"/>
        </top>
      </border>
    </dxf>
    <dxf>
      <border outline="0">
        <left style="thin">
          <color theme="2" tint="-0.24994659260841701"/>
        </left>
        <right style="thin">
          <color theme="2" tint="-0.24994659260841701"/>
        </right>
        <top style="thin">
          <color theme="2" tint="-0.24994659260841701"/>
        </top>
        <bottom style="thin">
          <color theme="2" tint="-0.24994659260841701"/>
        </bottom>
      </border>
    </dxf>
    <dxf>
      <fill>
        <patternFill patternType="none">
          <fgColor indexed="64"/>
          <bgColor auto="1"/>
        </patternFill>
      </fill>
      <alignment horizontal="center" vertical="bottom" textRotation="0" wrapText="0" indent="0" justifyLastLine="0" shrinkToFit="0" readingOrder="2"/>
    </dxf>
    <dxf>
      <border outline="0">
        <bottom style="thin">
          <color theme="2" tint="-0.24994659260841701"/>
        </bottom>
      </border>
    </dxf>
    <dxf>
      <font>
        <b/>
        <i val="0"/>
        <strike val="0"/>
        <condense val="0"/>
        <extend val="0"/>
        <outline val="0"/>
        <shadow val="0"/>
        <u val="none"/>
        <vertAlign val="baseline"/>
        <sz val="11"/>
        <color theme="1"/>
        <name val="IRANSans(FaNum)"/>
        <family val="1"/>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theme="2" tint="-0.24994659260841701"/>
        </left>
        <right style="thin">
          <color theme="2" tint="-0.24994659260841701"/>
        </right>
        <top/>
        <bottom/>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960429]yyyy/mm/dd;@"/>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dxf>
  </dxfs>
  <tableStyles count="0" defaultTableStyle="TableStyleMedium2" defaultPivotStyle="PivotStyleLight16"/>
  <colors>
    <mruColors>
      <color rgb="FF096487"/>
      <color rgb="FFFF782E"/>
      <color rgb="FFF559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eetMetadata" Target="metadata.xml"/><Relationship Id="rId26" Type="http://schemas.openxmlformats.org/officeDocument/2006/relationships/customXml" Target="../customXml/item6.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3.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[Excelpedia- Pro-Dashboard- Step-01.xlsx]Calc!PivotTable1</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96487"/>
          </a:solidFill>
          <a:ln w="73025">
            <a:solidFill>
              <a:srgbClr val="70AD47">
                <a:lumMod val="20000"/>
                <a:lumOff val="80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782E"/>
          </a:solidFill>
          <a:ln w="73025">
            <a:solidFill>
              <a:srgbClr val="70AD47">
                <a:lumMod val="20000"/>
                <a:lumOff val="80000"/>
              </a:srgbClr>
            </a:solidFill>
          </a:ln>
          <a:effectLst/>
        </c:spPr>
      </c:pivotFmt>
      <c:pivotFmt>
        <c:idx val="6"/>
        <c:spPr>
          <a:solidFill>
            <a:srgbClr val="096487"/>
          </a:solidFill>
          <a:ln w="73025">
            <a:solidFill>
              <a:srgbClr val="70AD47">
                <a:lumMod val="20000"/>
                <a:lumOff val="80000"/>
              </a:srgbClr>
            </a:solidFill>
          </a:ln>
          <a:effectLst/>
        </c:spPr>
      </c:pivotFmt>
    </c:pivotFmts>
    <c:plotArea>
      <c:layout>
        <c:manualLayout>
          <c:layoutTarget val="inner"/>
          <c:xMode val="edge"/>
          <c:yMode val="edge"/>
          <c:x val="0.25667317708333331"/>
          <c:y val="5.5555555555555552E-2"/>
          <c:w val="0.53888888888888886"/>
          <c:h val="0.89814814814814814"/>
        </c:manualLayout>
      </c:layout>
      <c:doughnutChart>
        <c:varyColors val="1"/>
        <c:ser>
          <c:idx val="0"/>
          <c:order val="0"/>
          <c:tx>
            <c:strRef>
              <c:f>Calc!$B$3</c:f>
              <c:strCache>
                <c:ptCount val="1"/>
                <c:pt idx="0">
                  <c:v>Total</c:v>
                </c:pt>
              </c:strCache>
            </c:strRef>
          </c:tx>
          <c:spPr>
            <a:solidFill>
              <a:srgbClr val="096487"/>
            </a:solidFill>
            <a:ln w="73025">
              <a:solidFill>
                <a:srgbClr val="70AD47">
                  <a:lumMod val="20000"/>
                  <a:lumOff val="80000"/>
                </a:srgbClr>
              </a:solidFill>
            </a:ln>
          </c:spPr>
          <c:dPt>
            <c:idx val="0"/>
            <c:bubble3D val="0"/>
            <c:spPr>
              <a:solidFill>
                <a:srgbClr val="FF782E"/>
              </a:solidFill>
              <a:ln w="73025">
                <a:solidFill>
                  <a:srgbClr val="70AD47">
                    <a:lumMod val="20000"/>
                    <a:lumOff val="80000"/>
                  </a:srgbClr>
                </a:solidFill>
              </a:ln>
              <a:effectLst/>
            </c:spPr>
            <c:extLst>
              <c:ext xmlns:c16="http://schemas.microsoft.com/office/drawing/2014/chart" uri="{C3380CC4-5D6E-409C-BE32-E72D297353CC}">
                <c16:uniqueId val="{00000001-1CDE-435E-8649-EE4C5101B0FC}"/>
              </c:ext>
            </c:extLst>
          </c:dPt>
          <c:dPt>
            <c:idx val="1"/>
            <c:bubble3D val="0"/>
            <c:spPr>
              <a:solidFill>
                <a:srgbClr val="096487"/>
              </a:solidFill>
              <a:ln w="73025">
                <a:solidFill>
                  <a:srgbClr val="70AD47">
                    <a:lumMod val="20000"/>
                    <a:lumOff val="80000"/>
                  </a:srgbClr>
                </a:solidFill>
              </a:ln>
              <a:effectLst/>
            </c:spPr>
            <c:extLst>
              <c:ext xmlns:c16="http://schemas.microsoft.com/office/drawing/2014/chart" uri="{C3380CC4-5D6E-409C-BE32-E72D297353CC}">
                <c16:uniqueId val="{00000003-1CDE-435E-8649-EE4C5101B0FC}"/>
              </c:ext>
            </c:extLst>
          </c:dPt>
          <c:cat>
            <c:strRef>
              <c:f>Calc!$A$4:$A$6</c:f>
              <c:strCache>
                <c:ptCount val="2"/>
                <c:pt idx="0">
                  <c:v>زن</c:v>
                </c:pt>
                <c:pt idx="1">
                  <c:v>مرد</c:v>
                </c:pt>
              </c:strCache>
            </c:strRef>
          </c:cat>
          <c:val>
            <c:numRef>
              <c:f>Calc!$B$4:$B$6</c:f>
              <c:numCache>
                <c:formatCode>General</c:formatCode>
                <c:ptCount val="2"/>
                <c:pt idx="0">
                  <c:v>19</c:v>
                </c:pt>
                <c:pt idx="1">
                  <c:v>41</c:v>
                </c:pt>
              </c:numCache>
            </c:numRef>
          </c:val>
          <c:extLst>
            <c:ext xmlns:c16="http://schemas.microsoft.com/office/drawing/2014/chart" uri="{C3380CC4-5D6E-409C-BE32-E72D297353CC}">
              <c16:uniqueId val="{00000004-1CDE-435E-8649-EE4C5101B0FC}"/>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[Excelpedia- Pro-Dashboard- Step-01.xlsx]Calc!PivotTable1</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96487"/>
          </a:solidFill>
          <a:ln w="73025">
            <a:solidFill>
              <a:srgbClr val="70AD47">
                <a:lumMod val="20000"/>
                <a:lumOff val="80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782E"/>
          </a:solidFill>
          <a:ln w="73025">
            <a:solidFill>
              <a:srgbClr val="70AD47">
                <a:lumMod val="20000"/>
                <a:lumOff val="80000"/>
              </a:srgbClr>
            </a:solidFill>
          </a:ln>
          <a:effectLst/>
        </c:spPr>
      </c:pivotFmt>
      <c:pivotFmt>
        <c:idx val="6"/>
        <c:spPr>
          <a:solidFill>
            <a:srgbClr val="096487"/>
          </a:solidFill>
          <a:ln w="73025">
            <a:solidFill>
              <a:srgbClr val="70AD47">
                <a:lumMod val="20000"/>
                <a:lumOff val="80000"/>
              </a:srgbClr>
            </a:solidFill>
          </a:ln>
          <a:effectLst/>
        </c:spPr>
      </c:pivotFmt>
      <c:pivotFmt>
        <c:idx val="7"/>
        <c:spPr>
          <a:solidFill>
            <a:srgbClr val="096487"/>
          </a:solidFill>
          <a:ln w="73025">
            <a:solidFill>
              <a:srgbClr val="70AD47">
                <a:lumMod val="20000"/>
                <a:lumOff val="80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782E"/>
          </a:solidFill>
          <a:ln w="73025">
            <a:solidFill>
              <a:srgbClr val="70AD47">
                <a:lumMod val="20000"/>
                <a:lumOff val="80000"/>
              </a:srgbClr>
            </a:solidFill>
          </a:ln>
          <a:effectLst/>
        </c:spPr>
      </c:pivotFmt>
      <c:pivotFmt>
        <c:idx val="9"/>
        <c:spPr>
          <a:solidFill>
            <a:srgbClr val="096487"/>
          </a:solidFill>
          <a:ln w="73025">
            <a:solidFill>
              <a:srgbClr val="70AD47">
                <a:lumMod val="20000"/>
                <a:lumOff val="80000"/>
              </a:srgbClr>
            </a:solidFill>
          </a:ln>
          <a:effectLst/>
        </c:spPr>
      </c:pivotFmt>
    </c:pivotFmts>
    <c:plotArea>
      <c:layout>
        <c:manualLayout>
          <c:layoutTarget val="inner"/>
          <c:xMode val="edge"/>
          <c:yMode val="edge"/>
          <c:x val="0.25667317708333331"/>
          <c:y val="5.5555555555555552E-2"/>
          <c:w val="0.53888888888888886"/>
          <c:h val="0.89814814814814814"/>
        </c:manualLayout>
      </c:layout>
      <c:doughnutChart>
        <c:varyColors val="1"/>
        <c:ser>
          <c:idx val="0"/>
          <c:order val="0"/>
          <c:tx>
            <c:strRef>
              <c:f>Calc!$B$3</c:f>
              <c:strCache>
                <c:ptCount val="1"/>
                <c:pt idx="0">
                  <c:v>Total</c:v>
                </c:pt>
              </c:strCache>
            </c:strRef>
          </c:tx>
          <c:spPr>
            <a:solidFill>
              <a:srgbClr val="096487"/>
            </a:solidFill>
            <a:ln w="73025">
              <a:solidFill>
                <a:srgbClr val="70AD47">
                  <a:lumMod val="20000"/>
                  <a:lumOff val="80000"/>
                </a:srgbClr>
              </a:solidFill>
            </a:ln>
          </c:spPr>
          <c:dPt>
            <c:idx val="0"/>
            <c:bubble3D val="0"/>
            <c:spPr>
              <a:solidFill>
                <a:srgbClr val="FF782E"/>
              </a:solidFill>
              <a:ln w="73025">
                <a:solidFill>
                  <a:srgbClr val="70AD47">
                    <a:lumMod val="20000"/>
                    <a:lumOff val="80000"/>
                  </a:srgbClr>
                </a:solidFill>
              </a:ln>
              <a:effectLst/>
            </c:spPr>
            <c:extLst>
              <c:ext xmlns:c16="http://schemas.microsoft.com/office/drawing/2014/chart" uri="{C3380CC4-5D6E-409C-BE32-E72D297353CC}">
                <c16:uniqueId val="{00000001-1CDE-435E-8649-EE4C5101B0FC}"/>
              </c:ext>
            </c:extLst>
          </c:dPt>
          <c:dPt>
            <c:idx val="1"/>
            <c:bubble3D val="0"/>
            <c:spPr>
              <a:solidFill>
                <a:srgbClr val="096487"/>
              </a:solidFill>
              <a:ln w="73025">
                <a:solidFill>
                  <a:srgbClr val="70AD47">
                    <a:lumMod val="20000"/>
                    <a:lumOff val="80000"/>
                  </a:srgbClr>
                </a:solidFill>
              </a:ln>
              <a:effectLst/>
            </c:spPr>
            <c:extLst>
              <c:ext xmlns:c16="http://schemas.microsoft.com/office/drawing/2014/chart" uri="{C3380CC4-5D6E-409C-BE32-E72D297353CC}">
                <c16:uniqueId val="{00000003-1CDE-435E-8649-EE4C5101B0FC}"/>
              </c:ext>
            </c:extLst>
          </c:dPt>
          <c:cat>
            <c:strRef>
              <c:f>Calc!$A$4:$A$6</c:f>
              <c:strCache>
                <c:ptCount val="2"/>
                <c:pt idx="0">
                  <c:v>زن</c:v>
                </c:pt>
                <c:pt idx="1">
                  <c:v>مرد</c:v>
                </c:pt>
              </c:strCache>
            </c:strRef>
          </c:cat>
          <c:val>
            <c:numRef>
              <c:f>Calc!$B$4:$B$6</c:f>
              <c:numCache>
                <c:formatCode>General</c:formatCode>
                <c:ptCount val="2"/>
                <c:pt idx="0">
                  <c:v>19</c:v>
                </c:pt>
                <c:pt idx="1">
                  <c:v>41</c:v>
                </c:pt>
              </c:numCache>
            </c:numRef>
          </c:val>
          <c:extLst>
            <c:ext xmlns:c16="http://schemas.microsoft.com/office/drawing/2014/chart" uri="{C3380CC4-5D6E-409C-BE32-E72D297353CC}">
              <c16:uniqueId val="{00000004-1CDE-435E-8649-EE4C5101B0FC}"/>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[Excelpedia- Pro-Dashboard- Step-01.xlsx]Calc!PivotTable2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782E"/>
          </a:solidFill>
          <a:ln w="57150">
            <a:solidFill>
              <a:srgbClr val="FF782E"/>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j-lt"/>
                  <a:ea typeface="+mn-ea"/>
                  <a:cs typeface="IRANSansWeb" panose="020B0506030804020204" pitchFamily="34" charset="-78"/>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96487"/>
          </a:solidFill>
          <a:ln w="57150">
            <a:solidFill>
              <a:srgbClr val="096487"/>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386473429951688E-2"/>
          <c:y val="0.13661833937424486"/>
          <c:w val="0.72690954391570617"/>
          <c:h val="0.61284631087780694"/>
        </c:manualLayout>
      </c:layout>
      <c:barChart>
        <c:barDir val="col"/>
        <c:grouping val="stacked"/>
        <c:varyColors val="0"/>
        <c:ser>
          <c:idx val="0"/>
          <c:order val="0"/>
          <c:tx>
            <c:strRef>
              <c:f>Calc!$F$3:$F$4</c:f>
              <c:strCache>
                <c:ptCount val="1"/>
                <c:pt idx="0">
                  <c:v>زن</c:v>
                </c:pt>
              </c:strCache>
            </c:strRef>
          </c:tx>
          <c:spPr>
            <a:solidFill>
              <a:srgbClr val="FF782E"/>
            </a:solidFill>
            <a:ln w="57150">
              <a:solidFill>
                <a:srgbClr val="FF782E"/>
              </a:solid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j-lt"/>
                    <a:ea typeface="+mn-ea"/>
                    <a:cs typeface="IRANSansWeb" panose="020B0506030804020204" pitchFamily="34" charset="-7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Calc!$E$5:$E$10</c:f>
              <c:strCache>
                <c:ptCount val="5"/>
                <c:pt idx="0">
                  <c:v>حقوقی و قراردادی</c:v>
                </c:pt>
                <c:pt idx="1">
                  <c:v>فناوری اطلاعات</c:v>
                </c:pt>
                <c:pt idx="2">
                  <c:v>کنترل هزینه</c:v>
                </c:pt>
                <c:pt idx="3">
                  <c:v>منابع انسانی</c:v>
                </c:pt>
                <c:pt idx="4">
                  <c:v>مهندسی</c:v>
                </c:pt>
              </c:strCache>
            </c:strRef>
          </c:cat>
          <c:val>
            <c:numRef>
              <c:f>Calc!$F$5:$F$10</c:f>
              <c:numCache>
                <c:formatCode>General</c:formatCode>
                <c:ptCount val="5"/>
                <c:pt idx="0">
                  <c:v>2</c:v>
                </c:pt>
                <c:pt idx="1">
                  <c:v>2</c:v>
                </c:pt>
                <c:pt idx="2">
                  <c:v>5</c:v>
                </c:pt>
                <c:pt idx="3">
                  <c:v>4</c:v>
                </c:pt>
                <c:pt idx="4">
                  <c:v>6</c:v>
                </c:pt>
              </c:numCache>
            </c:numRef>
          </c:val>
          <c:extLst>
            <c:ext xmlns:c16="http://schemas.microsoft.com/office/drawing/2014/chart" uri="{C3380CC4-5D6E-409C-BE32-E72D297353CC}">
              <c16:uniqueId val="{00000000-ECAD-4C20-983E-53245858BD67}"/>
            </c:ext>
          </c:extLst>
        </c:ser>
        <c:ser>
          <c:idx val="1"/>
          <c:order val="1"/>
          <c:tx>
            <c:strRef>
              <c:f>Calc!$G$3:$G$4</c:f>
              <c:strCache>
                <c:ptCount val="1"/>
                <c:pt idx="0">
                  <c:v>مرد</c:v>
                </c:pt>
              </c:strCache>
            </c:strRef>
          </c:tx>
          <c:spPr>
            <a:solidFill>
              <a:srgbClr val="096487"/>
            </a:solidFill>
            <a:ln w="57150">
              <a:solidFill>
                <a:srgbClr val="096487"/>
              </a:solid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Calc!$E$5:$E$10</c:f>
              <c:strCache>
                <c:ptCount val="5"/>
                <c:pt idx="0">
                  <c:v>حقوقی و قراردادی</c:v>
                </c:pt>
                <c:pt idx="1">
                  <c:v>فناوری اطلاعات</c:v>
                </c:pt>
                <c:pt idx="2">
                  <c:v>کنترل هزینه</c:v>
                </c:pt>
                <c:pt idx="3">
                  <c:v>منابع انسانی</c:v>
                </c:pt>
                <c:pt idx="4">
                  <c:v>مهندسی</c:v>
                </c:pt>
              </c:strCache>
            </c:strRef>
          </c:cat>
          <c:val>
            <c:numRef>
              <c:f>Calc!$G$5:$G$10</c:f>
              <c:numCache>
                <c:formatCode>General</c:formatCode>
                <c:ptCount val="5"/>
                <c:pt idx="0">
                  <c:v>6</c:v>
                </c:pt>
                <c:pt idx="1">
                  <c:v>6</c:v>
                </c:pt>
                <c:pt idx="2">
                  <c:v>11</c:v>
                </c:pt>
                <c:pt idx="3">
                  <c:v>9</c:v>
                </c:pt>
                <c:pt idx="4">
                  <c:v>9</c:v>
                </c:pt>
              </c:numCache>
            </c:numRef>
          </c:val>
          <c:extLst>
            <c:ext xmlns:c16="http://schemas.microsoft.com/office/drawing/2014/chart" uri="{C3380CC4-5D6E-409C-BE32-E72D297353CC}">
              <c16:uniqueId val="{00000001-ECAD-4C20-983E-53245858BD67}"/>
            </c:ext>
          </c:extLst>
        </c:ser>
        <c:dLbls>
          <c:dLblPos val="ctr"/>
          <c:showLegendKey val="0"/>
          <c:showVal val="1"/>
          <c:showCatName val="0"/>
          <c:showSerName val="0"/>
          <c:showPercent val="0"/>
          <c:showBubbleSize val="0"/>
        </c:dLbls>
        <c:gapWidth val="150"/>
        <c:overlap val="100"/>
        <c:axId val="1310986015"/>
        <c:axId val="1310991775"/>
      </c:barChart>
      <c:catAx>
        <c:axId val="1310986015"/>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10991775"/>
        <c:crosses val="autoZero"/>
        <c:auto val="1"/>
        <c:lblAlgn val="ctr"/>
        <c:lblOffset val="100"/>
        <c:noMultiLvlLbl val="0"/>
      </c:catAx>
      <c:valAx>
        <c:axId val="1310991775"/>
        <c:scaling>
          <c:orientation val="minMax"/>
        </c:scaling>
        <c:delete val="0"/>
        <c:axPos val="r"/>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10986015"/>
        <c:crosses val="autoZero"/>
        <c:crossBetween val="between"/>
      </c:valAx>
      <c:spPr>
        <a:noFill/>
        <a:ln>
          <a:noFill/>
        </a:ln>
        <a:effectLst/>
      </c:spPr>
    </c:plotArea>
    <c:legend>
      <c:legendPos val="r"/>
      <c:layout>
        <c:manualLayout>
          <c:xMode val="edge"/>
          <c:yMode val="edge"/>
          <c:x val="1.7193631743807641E-2"/>
          <c:y val="2.3700977595191904E-2"/>
          <c:w val="0.19621707102859726"/>
          <c:h val="7.6994180075316679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ysClr val="window" lastClr="FFFFFF"/>
      </a:solidFill>
      <a:round/>
    </a:ln>
    <a:effectLst/>
  </c:spPr>
  <c:txPr>
    <a:bodyPr/>
    <a:lstStyle/>
    <a:p>
      <a:pPr>
        <a:defRPr>
          <a:solidFill>
            <a:schemeClr val="accent6">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4102564102564097E-2"/>
          <c:y val="0.11838874121739315"/>
          <c:w val="0.91185897435897434"/>
          <c:h val="0.81396054951552499"/>
        </c:manualLayout>
      </c:layout>
      <c:ofPieChart>
        <c:ofPieType val="bar"/>
        <c:varyColors val="1"/>
        <c:ser>
          <c:idx val="0"/>
          <c:order val="0"/>
          <c:spPr>
            <a:ln w="66675">
              <a:solidFill>
                <a:sysClr val="window" lastClr="FFFFFF"/>
              </a:solidFill>
            </a:ln>
          </c:spPr>
          <c:dPt>
            <c:idx val="0"/>
            <c:bubble3D val="0"/>
            <c:spPr>
              <a:solidFill>
                <a:srgbClr val="096487"/>
              </a:solidFill>
              <a:ln w="66675">
                <a:solidFill>
                  <a:sysClr val="window" lastClr="FFFFFF"/>
                </a:solidFill>
              </a:ln>
              <a:effectLst/>
            </c:spPr>
            <c:extLst>
              <c:ext xmlns:c16="http://schemas.microsoft.com/office/drawing/2014/chart" uri="{C3380CC4-5D6E-409C-BE32-E72D297353CC}">
                <c16:uniqueId val="{00000001-0827-4DAE-9675-DD8821144B5E}"/>
              </c:ext>
            </c:extLst>
          </c:dPt>
          <c:dPt>
            <c:idx val="1"/>
            <c:bubble3D val="0"/>
            <c:spPr>
              <a:solidFill>
                <a:sysClr val="window" lastClr="FFFFFF">
                  <a:lumMod val="50000"/>
                </a:sysClr>
              </a:solidFill>
              <a:ln w="66675">
                <a:solidFill>
                  <a:sysClr val="window" lastClr="FFFFFF"/>
                </a:solidFill>
              </a:ln>
              <a:effectLst/>
            </c:spPr>
            <c:extLst>
              <c:ext xmlns:c16="http://schemas.microsoft.com/office/drawing/2014/chart" uri="{C3380CC4-5D6E-409C-BE32-E72D297353CC}">
                <c16:uniqueId val="{00000003-0827-4DAE-9675-DD8821144B5E}"/>
              </c:ext>
            </c:extLst>
          </c:dPt>
          <c:dPt>
            <c:idx val="2"/>
            <c:bubble3D val="0"/>
            <c:spPr>
              <a:solidFill>
                <a:sysClr val="window" lastClr="FFFFFF">
                  <a:lumMod val="75000"/>
                </a:sysClr>
              </a:solidFill>
              <a:ln w="66675">
                <a:solidFill>
                  <a:sysClr val="window" lastClr="FFFFFF"/>
                </a:solidFill>
              </a:ln>
              <a:effectLst/>
            </c:spPr>
            <c:extLst>
              <c:ext xmlns:c16="http://schemas.microsoft.com/office/drawing/2014/chart" uri="{C3380CC4-5D6E-409C-BE32-E72D297353CC}">
                <c16:uniqueId val="{00000005-0827-4DAE-9675-DD8821144B5E}"/>
              </c:ext>
            </c:extLst>
          </c:dPt>
          <c:dPt>
            <c:idx val="3"/>
            <c:bubble3D val="0"/>
            <c:spPr>
              <a:solidFill>
                <a:srgbClr val="FF782E"/>
              </a:solidFill>
              <a:ln w="66675">
                <a:solidFill>
                  <a:sysClr val="window" lastClr="FFFFFF"/>
                </a:solidFill>
              </a:ln>
              <a:effectLst/>
            </c:spPr>
            <c:extLst>
              <c:ext xmlns:c16="http://schemas.microsoft.com/office/drawing/2014/chart" uri="{C3380CC4-5D6E-409C-BE32-E72D297353CC}">
                <c16:uniqueId val="{00000007-0827-4DAE-9675-DD8821144B5E}"/>
              </c:ext>
            </c:extLst>
          </c:dPt>
          <c:dLbls>
            <c:dLbl>
              <c:idx val="0"/>
              <c:tx>
                <c:rich>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fld id="{E6310328-AEA6-436F-A1C0-39CFE66BD9F9}" type="CATEGORYNAME">
                      <a:rPr lang="fa-IR" sz="800" b="0">
                        <a:solidFill>
                          <a:schemeClr val="bg1"/>
                        </a:solidFill>
                      </a:rPr>
                      <a:pPr>
                        <a:defRPr sz="800" b="0">
                          <a:solidFill>
                            <a:schemeClr val="bg1"/>
                          </a:solidFill>
                        </a:defRPr>
                      </a:pPr>
                      <a:t>[CATEGORY NAME]</a:t>
                    </a:fld>
                    <a:r>
                      <a:rPr lang="fa-IR" sz="800" b="0" baseline="0"/>
                      <a:t> </a:t>
                    </a:r>
                    <a:fld id="{5FBE1765-BE77-4782-96DB-D1D791DCF4A1}" type="VALUE">
                      <a:rPr lang="fa-IR" sz="800" b="0" baseline="0">
                        <a:solidFill>
                          <a:schemeClr val="bg1"/>
                        </a:solidFill>
                      </a:rPr>
                      <a:pPr>
                        <a:defRPr sz="800" b="0">
                          <a:solidFill>
                            <a:schemeClr val="bg1"/>
                          </a:solidFill>
                        </a:defRPr>
                      </a:pPr>
                      <a:t>[VALUE]</a:t>
                    </a:fld>
                    <a:endParaRPr lang="fa-IR" sz="800" b="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827-4DAE-9675-DD8821144B5E}"/>
                </c:ext>
              </c:extLst>
            </c:dLbl>
            <c:dLbl>
              <c:idx val="1"/>
              <c:tx>
                <c:rich>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r>
                      <a:rPr lang="fa-IR" sz="800" b="0" baseline="0"/>
                      <a:t>مرد </a:t>
                    </a:r>
                    <a:fld id="{BC76A399-E8BD-42AF-898F-2CDD18EC4F21}" type="VALUE">
                      <a:rPr lang="en-US" sz="800" b="0" baseline="0"/>
                      <a:pPr>
                        <a:defRPr sz="800" b="0">
                          <a:solidFill>
                            <a:schemeClr val="bg1"/>
                          </a:solidFill>
                        </a:defRPr>
                      </a:pPr>
                      <a:t>[VALUE]</a:t>
                    </a:fld>
                    <a:endParaRPr lang="fa-IR" sz="800" b="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827-4DAE-9675-DD8821144B5E}"/>
                </c:ext>
              </c:extLst>
            </c:dLbl>
            <c:dLbl>
              <c:idx val="2"/>
              <c:tx>
                <c:rich>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r>
                      <a:rPr lang="fa-IR" sz="800" b="0" baseline="0"/>
                      <a:t>زن </a:t>
                    </a:r>
                    <a:fld id="{5F18B079-0D62-47B9-AAAE-7545F1D74DE9}" type="VALUE">
                      <a:rPr lang="en-US" sz="800" b="0" baseline="0"/>
                      <a:pPr>
                        <a:defRPr sz="800" b="0">
                          <a:solidFill>
                            <a:schemeClr val="bg1"/>
                          </a:solidFill>
                        </a:defRPr>
                      </a:pPr>
                      <a:t>[VALUE]</a:t>
                    </a:fld>
                    <a:endParaRPr lang="fa-IR" sz="800" b="0" baseline="0"/>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827-4DAE-9675-DD8821144B5E}"/>
                </c:ext>
              </c:extLst>
            </c:dLbl>
            <c:dLbl>
              <c:idx val="3"/>
              <c:tx>
                <c:rich>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r>
                      <a:rPr lang="fa-IR" sz="800" b="0" baseline="0">
                        <a:solidFill>
                          <a:schemeClr val="bg1"/>
                        </a:solidFill>
                      </a:rPr>
                      <a:t>پاره وقت </a:t>
                    </a:r>
                    <a:fld id="{2836F578-E2B5-465E-BDD8-CB113A97CFB4}" type="VALUE">
                      <a:rPr lang="en-US" sz="800" b="0" baseline="0">
                        <a:solidFill>
                          <a:schemeClr val="bg1"/>
                        </a:solidFill>
                      </a:rPr>
                      <a:pPr>
                        <a:defRPr sz="800" b="0">
                          <a:solidFill>
                            <a:schemeClr val="bg1"/>
                          </a:solidFill>
                        </a:defRPr>
                      </a:pPr>
                      <a:t>[VALUE]</a:t>
                    </a:fld>
                    <a:endParaRPr lang="fa-IR" sz="800" b="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0827-4DAE-9675-DD8821144B5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Calc!$K$18:$K$20</c:f>
              <c:strCache>
                <c:ptCount val="3"/>
                <c:pt idx="0">
                  <c:v>تمام وقت </c:v>
                </c:pt>
                <c:pt idx="1">
                  <c:v>مرد</c:v>
                </c:pt>
                <c:pt idx="2">
                  <c:v>زن</c:v>
                </c:pt>
              </c:strCache>
            </c:strRef>
          </c:cat>
          <c:val>
            <c:numRef>
              <c:f>Calc!$L$18:$L$20</c:f>
              <c:numCache>
                <c:formatCode>General</c:formatCode>
                <c:ptCount val="3"/>
                <c:pt idx="0">
                  <c:v>42</c:v>
                </c:pt>
                <c:pt idx="1">
                  <c:v>13</c:v>
                </c:pt>
                <c:pt idx="2">
                  <c:v>5</c:v>
                </c:pt>
              </c:numCache>
            </c:numRef>
          </c:val>
          <c:extLst>
            <c:ext xmlns:c16="http://schemas.microsoft.com/office/drawing/2014/chart" uri="{C3380CC4-5D6E-409C-BE32-E72D297353CC}">
              <c16:uniqueId val="{00000008-0827-4DAE-9675-DD8821144B5E}"/>
            </c:ext>
          </c:extLst>
        </c:ser>
        <c:dLbls>
          <c:dLblPos val="bestFit"/>
          <c:showLegendKey val="0"/>
          <c:showVal val="1"/>
          <c:showCatName val="1"/>
          <c:showSerName val="0"/>
          <c:showPercent val="0"/>
          <c:showBubbleSize val="0"/>
          <c:showLeaderLines val="1"/>
        </c:dLbls>
        <c:gapWidth val="100"/>
        <c:splitType val="pos"/>
        <c:splitPos val="2"/>
        <c:secondPieSize val="75"/>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7150" cap="flat" cmpd="sng" algn="ctr">
      <a:solidFill>
        <a:sysClr val="window" lastClr="FFFFFF"/>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spPr>
            <a:solidFill>
              <a:srgbClr val="FF782E"/>
            </a:solidFill>
          </c:spPr>
          <c:dPt>
            <c:idx val="0"/>
            <c:bubble3D val="0"/>
            <c:spPr>
              <a:solidFill>
                <a:srgbClr val="FF782E"/>
              </a:solidFill>
              <a:ln w="19050">
                <a:noFill/>
              </a:ln>
              <a:effectLst/>
            </c:spPr>
            <c:extLst>
              <c:ext xmlns:c16="http://schemas.microsoft.com/office/drawing/2014/chart" uri="{C3380CC4-5D6E-409C-BE32-E72D297353CC}">
                <c16:uniqueId val="{00000001-34A6-433F-B400-2238D1CBE283}"/>
              </c:ext>
            </c:extLst>
          </c:dPt>
          <c:dPt>
            <c:idx val="1"/>
            <c:bubble3D val="0"/>
            <c:spPr>
              <a:solidFill>
                <a:sysClr val="windowText" lastClr="000000">
                  <a:lumMod val="95000"/>
                  <a:lumOff val="5000"/>
                </a:sysClr>
              </a:solidFill>
              <a:ln w="19050">
                <a:noFill/>
              </a:ln>
              <a:effectLst/>
            </c:spPr>
            <c:extLst>
              <c:ext xmlns:c16="http://schemas.microsoft.com/office/drawing/2014/chart" uri="{C3380CC4-5D6E-409C-BE32-E72D297353CC}">
                <c16:uniqueId val="{00000003-34A6-433F-B400-2238D1CBE283}"/>
              </c:ext>
            </c:extLst>
          </c:dPt>
          <c:dPt>
            <c:idx val="2"/>
            <c:bubble3D val="0"/>
            <c:spPr>
              <a:solidFill>
                <a:srgbClr val="096487"/>
              </a:solidFill>
              <a:ln w="19050">
                <a:noFill/>
              </a:ln>
              <a:effectLst/>
            </c:spPr>
            <c:extLst>
              <c:ext xmlns:c16="http://schemas.microsoft.com/office/drawing/2014/chart" uri="{C3380CC4-5D6E-409C-BE32-E72D297353CC}">
                <c16:uniqueId val="{00000005-34A6-433F-B400-2238D1CBE283}"/>
              </c:ext>
            </c:extLst>
          </c:dPt>
          <c:dPt>
            <c:idx val="3"/>
            <c:bubble3D val="0"/>
            <c:explosion val="4"/>
            <c:spPr>
              <a:noFill/>
              <a:ln w="19050">
                <a:noFill/>
              </a:ln>
              <a:effectLst/>
            </c:spPr>
            <c:extLst>
              <c:ext xmlns:c16="http://schemas.microsoft.com/office/drawing/2014/chart" uri="{C3380CC4-5D6E-409C-BE32-E72D297353CC}">
                <c16:uniqueId val="{00000007-34A6-433F-B400-2238D1CBE283}"/>
              </c:ext>
            </c:extLst>
          </c:dPt>
          <c:val>
            <c:numRef>
              <c:f>Calc!$E$29:$E$32</c:f>
              <c:numCache>
                <c:formatCode>General</c:formatCode>
                <c:ptCount val="4"/>
                <c:pt idx="0">
                  <c:v>66</c:v>
                </c:pt>
                <c:pt idx="1">
                  <c:v>2</c:v>
                </c:pt>
                <c:pt idx="2">
                  <c:v>32</c:v>
                </c:pt>
                <c:pt idx="3">
                  <c:v>100</c:v>
                </c:pt>
              </c:numCache>
            </c:numRef>
          </c:val>
          <c:extLst>
            <c:ext xmlns:c16="http://schemas.microsoft.com/office/drawing/2014/chart" uri="{C3380CC4-5D6E-409C-BE32-E72D297353CC}">
              <c16:uniqueId val="{00000008-34A6-433F-B400-2238D1CBE283}"/>
            </c:ext>
          </c:extLst>
        </c:ser>
        <c:dLbls>
          <c:showLegendKey val="0"/>
          <c:showVal val="0"/>
          <c:showCatName val="0"/>
          <c:showSerName val="0"/>
          <c:showPercent val="0"/>
          <c:showBubbleSize val="0"/>
          <c:showLeaderLines val="1"/>
        </c:dLbls>
        <c:firstSliceAng val="270"/>
        <c:holeSize val="4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857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image" Target="../media/image2.emf"/><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10</xdr:col>
      <xdr:colOff>480060</xdr:colOff>
      <xdr:row>1</xdr:row>
      <xdr:rowOff>167640</xdr:rowOff>
    </xdr:from>
    <xdr:to>
      <xdr:col>12</xdr:col>
      <xdr:colOff>403860</xdr:colOff>
      <xdr:row>15</xdr:row>
      <xdr:rowOff>74295</xdr:rowOff>
    </xdr:to>
    <mc:AlternateContent xmlns:mc="http://schemas.openxmlformats.org/markup-compatibility/2006">
      <mc:Choice xmlns:a14="http://schemas.microsoft.com/office/drawing/2010/main" Requires="a14">
        <xdr:graphicFrame macro="">
          <xdr:nvGraphicFramePr>
            <xdr:cNvPr id="11" name="ماه 1">
              <a:extLst>
                <a:ext uri="{FF2B5EF4-FFF2-40B4-BE49-F238E27FC236}">
                  <a16:creationId xmlns:a16="http://schemas.microsoft.com/office/drawing/2014/main" id="{49E2D40A-F9B1-02CB-1B48-BEDFE79A932C}"/>
                </a:ext>
              </a:extLst>
            </xdr:cNvPr>
            <xdr:cNvGraphicFramePr/>
          </xdr:nvGraphicFramePr>
          <xdr:xfrm>
            <a:off x="0" y="0"/>
            <a:ext cx="0" cy="0"/>
          </xdr:xfrm>
          <a:graphic>
            <a:graphicData uri="http://schemas.microsoft.com/office/drawing/2010/slicer">
              <sle:slicer xmlns:sle="http://schemas.microsoft.com/office/drawing/2010/slicer" name="ماه 1"/>
            </a:graphicData>
          </a:graphic>
        </xdr:graphicFrame>
      </mc:Choice>
      <mc:Fallback>
        <xdr:sp macro="" textlink="">
          <xdr:nvSpPr>
            <xdr:cNvPr id="0" name=""/>
            <xdr:cNvSpPr>
              <a:spLocks noTextEdit="1"/>
            </xdr:cNvSpPr>
          </xdr:nvSpPr>
          <xdr:spPr>
            <a:xfrm>
              <a:off x="7795260" y="350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xdr:colOff>
      <xdr:row>5</xdr:row>
      <xdr:rowOff>144780</xdr:rowOff>
    </xdr:from>
    <xdr:to>
      <xdr:col>6</xdr:col>
      <xdr:colOff>15240</xdr:colOff>
      <xdr:row>9</xdr:row>
      <xdr:rowOff>175260</xdr:rowOff>
    </xdr:to>
    <xdr:sp macro="" textlink="Birth">
      <xdr:nvSpPr>
        <xdr:cNvPr id="15" name="Rectangle: Rounded Corners 14">
          <a:extLst>
            <a:ext uri="{FF2B5EF4-FFF2-40B4-BE49-F238E27FC236}">
              <a16:creationId xmlns:a16="http://schemas.microsoft.com/office/drawing/2014/main" id="{1C7213D9-735E-49A9-B31F-6E4ED89E5D9F}"/>
            </a:ext>
          </a:extLst>
        </xdr:cNvPr>
        <xdr:cNvSpPr/>
      </xdr:nvSpPr>
      <xdr:spPr>
        <a:xfrm>
          <a:off x="9984013560" y="1230630"/>
          <a:ext cx="1813560" cy="935355"/>
        </a:xfrm>
        <a:prstGeom prst="roundRect">
          <a:avLst/>
        </a:prstGeom>
        <a:solidFill>
          <a:sysClr val="window" lastClr="FFFFFF"/>
        </a:solidFill>
        <a:ln w="12700" cap="flat" cmpd="sng" algn="ctr">
          <a:solidFill>
            <a:sysClr val="window" lastClr="FFFFFF"/>
          </a:solidFill>
          <a:prstDash val="solid"/>
          <a:miter lim="800000"/>
        </a:ln>
        <a:effectLst/>
      </xdr:spPr>
      <xdr:txBody>
        <a:bodyPr vertOverflow="clip" horzOverflow="clip"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fld id="{F7276DAC-C735-4392-A947-3D12AE99E217}" type="TxLink">
            <a:rPr kumimoji="0" lang="en-US" sz="1100" b="0" i="0" u="none" strike="noStrike" kern="0" cap="none" spc="0" normalizeH="0" baseline="0" noProof="0" smtClean="0">
              <a:ln>
                <a:noFill/>
              </a:ln>
              <a:solidFill>
                <a:srgbClr val="000000"/>
              </a:solidFill>
              <a:effectLst/>
              <a:uLnTx/>
              <a:uFillTx/>
              <a:latin typeface="Calibri"/>
              <a:ea typeface="+mn-ea"/>
              <a:cs typeface="Calibri"/>
            </a:rPr>
            <a:pPr marL="0" marR="0" lvl="0" indent="0" algn="ctr" defTabSz="914400" rtl="1" eaLnBrk="1" fontAlgn="auto" latinLnBrk="0" hangingPunct="1">
              <a:lnSpc>
                <a:spcPct val="100000"/>
              </a:lnSpc>
              <a:spcBef>
                <a:spcPts val="0"/>
              </a:spcBef>
              <a:spcAft>
                <a:spcPts val="0"/>
              </a:spcAft>
              <a:buClrTx/>
              <a:buSzTx/>
              <a:buFontTx/>
              <a:buNone/>
              <a:tabLst/>
              <a:defRPr/>
            </a:pPr>
            <a:t> </a:t>
          </a:fld>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8</xdr:col>
      <xdr:colOff>419100</xdr:colOff>
      <xdr:row>5</xdr:row>
      <xdr:rowOff>121920</xdr:rowOff>
    </xdr:from>
    <xdr:to>
      <xdr:col>11</xdr:col>
      <xdr:colOff>281940</xdr:colOff>
      <xdr:row>9</xdr:row>
      <xdr:rowOff>152400</xdr:rowOff>
    </xdr:to>
    <xdr:sp macro="" textlink="average">
      <xdr:nvSpPr>
        <xdr:cNvPr id="12" name="Rectangle: Rounded Corners 11">
          <a:extLst>
            <a:ext uri="{FF2B5EF4-FFF2-40B4-BE49-F238E27FC236}">
              <a16:creationId xmlns:a16="http://schemas.microsoft.com/office/drawing/2014/main" id="{FBEA2197-4944-E643-E5FC-51528EF3D89C}"/>
            </a:ext>
          </a:extLst>
        </xdr:cNvPr>
        <xdr:cNvSpPr/>
      </xdr:nvSpPr>
      <xdr:spPr>
        <a:xfrm>
          <a:off x="9980698860" y="1207770"/>
          <a:ext cx="1691640" cy="935355"/>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fld id="{9B94B54A-535E-4768-AEC9-B6A5D5AA2F74}" type="TxLink">
            <a:rPr lang="en-US" sz="1100" b="0" i="0" u="none" strike="noStrike">
              <a:solidFill>
                <a:srgbClr val="000000"/>
              </a:solidFill>
              <a:latin typeface="Calibri"/>
              <a:cs typeface="Calibri"/>
            </a:rPr>
            <a:pPr algn="ctr" rtl="1"/>
            <a:t>39.6</a:t>
          </a:fld>
          <a:endParaRPr lang="en-US" sz="1100"/>
        </a:p>
      </xdr:txBody>
    </xdr:sp>
    <xdr:clientData/>
  </xdr:twoCellAnchor>
  <xdr:twoCellAnchor>
    <xdr:from>
      <xdr:col>4</xdr:col>
      <xdr:colOff>228600</xdr:colOff>
      <xdr:row>3</xdr:row>
      <xdr:rowOff>91440</xdr:rowOff>
    </xdr:from>
    <xdr:to>
      <xdr:col>10</xdr:col>
      <xdr:colOff>472440</xdr:colOff>
      <xdr:row>12</xdr:row>
      <xdr:rowOff>144780</xdr:rowOff>
    </xdr:to>
    <xdr:graphicFrame macro="">
      <xdr:nvGraphicFramePr>
        <xdr:cNvPr id="11" name="Chart 10">
          <a:extLst>
            <a:ext uri="{FF2B5EF4-FFF2-40B4-BE49-F238E27FC236}">
              <a16:creationId xmlns:a16="http://schemas.microsoft.com/office/drawing/2014/main" id="{190C1CFD-6D54-4D3A-9752-FA535CF9B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571500</xdr:colOff>
      <xdr:row>5</xdr:row>
      <xdr:rowOff>327660</xdr:rowOff>
    </xdr:from>
    <xdr:to>
      <xdr:col>7</xdr:col>
      <xdr:colOff>487680</xdr:colOff>
      <xdr:row>8</xdr:row>
      <xdr:rowOff>91440</xdr:rowOff>
    </xdr:to>
    <xdr:sp macro="" textlink="Total">
      <xdr:nvSpPr>
        <xdr:cNvPr id="13" name="Rectangle 12">
          <a:extLst>
            <a:ext uri="{FF2B5EF4-FFF2-40B4-BE49-F238E27FC236}">
              <a16:creationId xmlns:a16="http://schemas.microsoft.com/office/drawing/2014/main" id="{2ADDA5B7-69AF-7B83-AAF0-F885ED93ECE6}"/>
            </a:ext>
          </a:extLst>
        </xdr:cNvPr>
        <xdr:cNvSpPr/>
      </xdr:nvSpPr>
      <xdr:spPr>
        <a:xfrm>
          <a:off x="9982931520" y="1424940"/>
          <a:ext cx="525780" cy="487680"/>
        </a:xfrm>
        <a:prstGeom prst="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fld id="{5602158C-68DA-4018-9C22-1966D211868F}" type="TxLink">
            <a:rPr lang="en-US" sz="1600" b="1" i="0" u="none" strike="noStrike">
              <a:solidFill>
                <a:srgbClr val="000000"/>
              </a:solidFill>
              <a:latin typeface="Calibri"/>
              <a:cs typeface="Calibri"/>
            </a:rPr>
            <a:pPr algn="ctr" rtl="1"/>
            <a:t>60</a:t>
          </a:fld>
          <a:endParaRPr lang="en-US" sz="1600" b="1"/>
        </a:p>
      </xdr:txBody>
    </xdr:sp>
    <xdr:clientData/>
  </xdr:twoCellAnchor>
  <xdr:twoCellAnchor editAs="oneCell">
    <xdr:from>
      <xdr:col>1</xdr:col>
      <xdr:colOff>91441</xdr:colOff>
      <xdr:row>0</xdr:row>
      <xdr:rowOff>91440</xdr:rowOff>
    </xdr:from>
    <xdr:to>
      <xdr:col>13</xdr:col>
      <xdr:colOff>332511</xdr:colOff>
      <xdr:row>3</xdr:row>
      <xdr:rowOff>0</xdr:rowOff>
    </xdr:to>
    <mc:AlternateContent xmlns:mc="http://schemas.openxmlformats.org/markup-compatibility/2006" xmlns:a14="http://schemas.microsoft.com/office/drawing/2010/main">
      <mc:Choice Requires="a14">
        <xdr:graphicFrame macro="">
          <xdr:nvGraphicFramePr>
            <xdr:cNvPr id="17" name="ماه">
              <a:extLst>
                <a:ext uri="{FF2B5EF4-FFF2-40B4-BE49-F238E27FC236}">
                  <a16:creationId xmlns:a16="http://schemas.microsoft.com/office/drawing/2014/main" id="{8975CE0C-34E1-48C4-81CC-73C9BFBE60AD}"/>
                </a:ext>
              </a:extLst>
            </xdr:cNvPr>
            <xdr:cNvGraphicFramePr/>
          </xdr:nvGraphicFramePr>
          <xdr:xfrm>
            <a:off x="0" y="0"/>
            <a:ext cx="0" cy="0"/>
          </xdr:xfrm>
          <a:graphic>
            <a:graphicData uri="http://schemas.microsoft.com/office/drawing/2010/slicer">
              <sle:slicer xmlns:sle="http://schemas.microsoft.com/office/drawing/2010/slicer" name="ماه"/>
            </a:graphicData>
          </a:graphic>
        </xdr:graphicFrame>
      </mc:Choice>
      <mc:Fallback xmlns="">
        <xdr:sp macro="" textlink="">
          <xdr:nvSpPr>
            <xdr:cNvPr id="0" name=""/>
            <xdr:cNvSpPr>
              <a:spLocks noTextEdit="1"/>
            </xdr:cNvSpPr>
          </xdr:nvSpPr>
          <xdr:spPr>
            <a:xfrm>
              <a:off x="9978557640" y="91440"/>
              <a:ext cx="8427720"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36195</xdr:colOff>
      <xdr:row>5</xdr:row>
      <xdr:rowOff>135255</xdr:rowOff>
    </xdr:from>
    <xdr:to>
      <xdr:col>6</xdr:col>
      <xdr:colOff>20955</xdr:colOff>
      <xdr:row>9</xdr:row>
      <xdr:rowOff>165735</xdr:rowOff>
    </xdr:to>
    <xdr:sp macro="" textlink="birthday">
      <xdr:nvSpPr>
        <xdr:cNvPr id="18" name="Rectangle: Rounded Corners 17">
          <a:extLst>
            <a:ext uri="{FF2B5EF4-FFF2-40B4-BE49-F238E27FC236}">
              <a16:creationId xmlns:a16="http://schemas.microsoft.com/office/drawing/2014/main" id="{4B973E25-7B84-2DA9-0BD6-8E64B6588BF5}"/>
            </a:ext>
          </a:extLst>
        </xdr:cNvPr>
        <xdr:cNvSpPr/>
      </xdr:nvSpPr>
      <xdr:spPr>
        <a:xfrm>
          <a:off x="9984007845" y="1221105"/>
          <a:ext cx="1813560" cy="935355"/>
        </a:xfrm>
        <a:prstGeom prst="roundRect">
          <a:avLst/>
        </a:prstGeom>
        <a:solidFill>
          <a:sysClr val="window" lastClr="FFFFFF"/>
        </a:solidFill>
        <a:ln w="12700" cap="flat" cmpd="sng" algn="ctr">
          <a:solidFill>
            <a:sysClr val="window" lastClr="FFFFFF"/>
          </a:solidFill>
          <a:prstDash val="solid"/>
          <a:miter lim="800000"/>
        </a:ln>
        <a:effectLst/>
      </xdr:spPr>
      <xdr:txBody>
        <a:bodyPr vertOverflow="clip" horzOverflow="clip"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fld id="{A83F377F-1AA3-4A1A-BC13-40899267FF85}" type="TxLink">
            <a:rPr kumimoji="0" lang="en-US" sz="1800" b="0" i="0" u="none" strike="noStrike" kern="0" cap="none" spc="0" normalizeH="0" baseline="0" noProof="0">
              <a:ln>
                <a:noFill/>
              </a:ln>
              <a:solidFill>
                <a:srgbClr val="000000"/>
              </a:solidFill>
              <a:effectLst/>
              <a:uLnTx/>
              <a:uFillTx/>
              <a:latin typeface="Calibri"/>
              <a:ea typeface="+mn-ea"/>
              <a:cs typeface="Calibri"/>
            </a:rPr>
            <a:t>3</a:t>
          </a:fld>
          <a:endParaRPr kumimoji="0" lang="en-US" sz="1800" b="0" i="0" u="none" strike="noStrike" kern="0" cap="none" spc="0" normalizeH="0" baseline="0" noProof="0">
            <a:ln>
              <a:noFill/>
            </a:ln>
            <a:effectLst/>
            <a:uLnTx/>
            <a:uFillTx/>
            <a:latin typeface="IRANSansWeb" panose="020B0506030804020204" pitchFamily="34" charset="-78"/>
            <a:ea typeface="+mn-ea"/>
            <a:cs typeface="B Nazanin" panose="00000400000000000000" pitchFamily="2" charset="-78"/>
          </a:endParaRPr>
        </a:p>
      </xdr:txBody>
    </xdr:sp>
    <xdr:clientData/>
  </xdr:twoCellAnchor>
  <xdr:twoCellAnchor>
    <xdr:from>
      <xdr:col>8</xdr:col>
      <xdr:colOff>396240</xdr:colOff>
      <xdr:row>5</xdr:row>
      <xdr:rowOff>121920</xdr:rowOff>
    </xdr:from>
    <xdr:to>
      <xdr:col>11</xdr:col>
      <xdr:colOff>259080</xdr:colOff>
      <xdr:row>9</xdr:row>
      <xdr:rowOff>152400</xdr:rowOff>
    </xdr:to>
    <xdr:sp macro="" textlink="average">
      <xdr:nvSpPr>
        <xdr:cNvPr id="19" name="Rectangle: Rounded Corners 18">
          <a:extLst>
            <a:ext uri="{FF2B5EF4-FFF2-40B4-BE49-F238E27FC236}">
              <a16:creationId xmlns:a16="http://schemas.microsoft.com/office/drawing/2014/main" id="{AD29C3D8-125A-E993-49CA-40B46F5E09BC}"/>
            </a:ext>
          </a:extLst>
        </xdr:cNvPr>
        <xdr:cNvSpPr/>
      </xdr:nvSpPr>
      <xdr:spPr>
        <a:xfrm>
          <a:off x="9980721720" y="1207770"/>
          <a:ext cx="1691640" cy="935355"/>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fld id="{9B94B54A-535E-4768-AEC9-B6A5D5AA2F74}" type="TxLink">
            <a:rPr lang="en-US" sz="1800" b="0" i="0" u="none" strike="noStrike">
              <a:solidFill>
                <a:srgbClr val="000000"/>
              </a:solidFill>
              <a:latin typeface="+mn-lt"/>
              <a:cs typeface="B Nazanin" panose="00000400000000000000" pitchFamily="2" charset="-78"/>
            </a:rPr>
            <a:pPr algn="ctr" rtl="1"/>
            <a:t>39.6</a:t>
          </a:fld>
          <a:endParaRPr lang="en-US" sz="1800">
            <a:latin typeface="+mn-lt"/>
            <a:cs typeface="B Nazanin" panose="00000400000000000000" pitchFamily="2" charset="-78"/>
          </a:endParaRPr>
        </a:p>
      </xdr:txBody>
    </xdr:sp>
    <xdr:clientData/>
  </xdr:twoCellAnchor>
  <xdr:twoCellAnchor>
    <xdr:from>
      <xdr:col>4</xdr:col>
      <xdr:colOff>205740</xdr:colOff>
      <xdr:row>3</xdr:row>
      <xdr:rowOff>91440</xdr:rowOff>
    </xdr:from>
    <xdr:to>
      <xdr:col>10</xdr:col>
      <xdr:colOff>449580</xdr:colOff>
      <xdr:row>12</xdr:row>
      <xdr:rowOff>144780</xdr:rowOff>
    </xdr:to>
    <xdr:graphicFrame macro="">
      <xdr:nvGraphicFramePr>
        <xdr:cNvPr id="20" name="Chart 19">
          <a:extLst>
            <a:ext uri="{FF2B5EF4-FFF2-40B4-BE49-F238E27FC236}">
              <a16:creationId xmlns:a16="http://schemas.microsoft.com/office/drawing/2014/main" id="{644D0255-45C2-29EB-4177-74B461F8D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62346</xdr:colOff>
      <xdr:row>12</xdr:row>
      <xdr:rowOff>85205</xdr:rowOff>
    </xdr:from>
    <xdr:to>
      <xdr:col>13</xdr:col>
      <xdr:colOff>169026</xdr:colOff>
      <xdr:row>20</xdr:row>
      <xdr:rowOff>152400</xdr:rowOff>
    </xdr:to>
    <xdr:graphicFrame macro="">
      <xdr:nvGraphicFramePr>
        <xdr:cNvPr id="3" name="Chart 2">
          <a:extLst>
            <a:ext uri="{FF2B5EF4-FFF2-40B4-BE49-F238E27FC236}">
              <a16:creationId xmlns:a16="http://schemas.microsoft.com/office/drawing/2014/main" id="{ED82AD0B-B356-4A86-BE4C-201CEE62C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495300</xdr:colOff>
      <xdr:row>5</xdr:row>
      <xdr:rowOff>205740</xdr:rowOff>
    </xdr:from>
    <xdr:to>
      <xdr:col>7</xdr:col>
      <xdr:colOff>571500</xdr:colOff>
      <xdr:row>6</xdr:row>
      <xdr:rowOff>99060</xdr:rowOff>
    </xdr:to>
    <xdr:sp macro="" textlink="">
      <xdr:nvSpPr>
        <xdr:cNvPr id="4" name="Rectangle 3">
          <a:extLst>
            <a:ext uri="{FF2B5EF4-FFF2-40B4-BE49-F238E27FC236}">
              <a16:creationId xmlns:a16="http://schemas.microsoft.com/office/drawing/2014/main" id="{668B585C-F754-F0A5-1161-F0FF245A1A07}"/>
            </a:ext>
          </a:extLst>
        </xdr:cNvPr>
        <xdr:cNvSpPr/>
      </xdr:nvSpPr>
      <xdr:spPr>
        <a:xfrm>
          <a:off x="9982847700" y="1303020"/>
          <a:ext cx="685800" cy="2514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fa-IR" sz="1400" b="1">
              <a:solidFill>
                <a:schemeClr val="tx1"/>
              </a:solidFill>
              <a:latin typeface="Arabic Typesetting" panose="03020402040406030203" pitchFamily="66" charset="-78"/>
              <a:cs typeface="Arabic Typesetting" panose="03020402040406030203" pitchFamily="66" charset="-78"/>
            </a:rPr>
            <a:t>تعداد </a:t>
          </a:r>
          <a:r>
            <a:rPr lang="fa-IR" sz="1400" b="1" baseline="0">
              <a:solidFill>
                <a:schemeClr val="tx1"/>
              </a:solidFill>
              <a:latin typeface="Arabic Typesetting" panose="03020402040406030203" pitchFamily="66" charset="-78"/>
              <a:cs typeface="Arabic Typesetting" panose="03020402040406030203" pitchFamily="66" charset="-78"/>
            </a:rPr>
            <a:t>کارکنان</a:t>
          </a:r>
          <a:endParaRPr lang="en-US" sz="1400" b="1">
            <a:solidFill>
              <a:schemeClr val="tx1"/>
            </a:solidFill>
            <a:latin typeface="Arabic Typesetting" panose="03020402040406030203" pitchFamily="66" charset="-78"/>
            <a:cs typeface="Arabic Typesetting" panose="03020402040406030203" pitchFamily="66" charset="-78"/>
          </a:endParaRPr>
        </a:p>
      </xdr:txBody>
    </xdr:sp>
    <xdr:clientData/>
  </xdr:twoCellAnchor>
  <xdr:twoCellAnchor editAs="oneCell">
    <xdr:from>
      <xdr:col>7</xdr:col>
      <xdr:colOff>30480</xdr:colOff>
      <xdr:row>6</xdr:row>
      <xdr:rowOff>91440</xdr:rowOff>
    </xdr:from>
    <xdr:to>
      <xdr:col>8</xdr:col>
      <xdr:colOff>167640</xdr:colOff>
      <xdr:row>10</xdr:row>
      <xdr:rowOff>45720</xdr:rowOff>
    </xdr:to>
    <xdr:pic>
      <xdr:nvPicPr>
        <xdr:cNvPr id="10" name="Picture 9">
          <a:extLst>
            <a:ext uri="{FF2B5EF4-FFF2-40B4-BE49-F238E27FC236}">
              <a16:creationId xmlns:a16="http://schemas.microsoft.com/office/drawing/2014/main" id="{E91A4238-1BF7-4FED-A9F2-4B2315B49B28}"/>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06002" t="-106249" r="-66700" b="-74997"/>
        <a:stretch>
          <a:fillRect/>
        </a:stretch>
      </xdr:blipFill>
      <xdr:spPr bwMode="auto">
        <a:xfrm>
          <a:off x="9982641960" y="1546860"/>
          <a:ext cx="746760" cy="685800"/>
        </a:xfrm>
        <a:prstGeom prst="rect">
          <a:avLst/>
        </a:prstGeom>
        <a:noFill/>
        <a:ln>
          <a:noFill/>
        </a:ln>
      </xdr:spPr>
    </xdr:pic>
    <xdr:clientData/>
  </xdr:twoCellAnchor>
  <xdr:twoCellAnchor editAs="oneCell">
    <xdr:from>
      <xdr:col>6</xdr:col>
      <xdr:colOff>541020</xdr:colOff>
      <xdr:row>7</xdr:row>
      <xdr:rowOff>167640</xdr:rowOff>
    </xdr:from>
    <xdr:to>
      <xdr:col>7</xdr:col>
      <xdr:colOff>220979</xdr:colOff>
      <xdr:row>9</xdr:row>
      <xdr:rowOff>45720</xdr:rowOff>
    </xdr:to>
    <xdr:pic>
      <xdr:nvPicPr>
        <xdr:cNvPr id="14" name="Picture 13">
          <a:extLst>
            <a:ext uri="{FF2B5EF4-FFF2-40B4-BE49-F238E27FC236}">
              <a16:creationId xmlns:a16="http://schemas.microsoft.com/office/drawing/2014/main" id="{7E216159-4605-4339-ADC3-B6522FB9179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983198221" y="1805940"/>
          <a:ext cx="289559" cy="24384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228599</xdr:colOff>
      <xdr:row>12</xdr:row>
      <xdr:rowOff>86591</xdr:rowOff>
    </xdr:from>
    <xdr:to>
      <xdr:col>6</xdr:col>
      <xdr:colOff>350519</xdr:colOff>
      <xdr:row>20</xdr:row>
      <xdr:rowOff>147551</xdr:rowOff>
    </xdr:to>
    <xdr:graphicFrame macro="">
      <xdr:nvGraphicFramePr>
        <xdr:cNvPr id="24" name="Chart 23">
          <a:extLst>
            <a:ext uri="{FF2B5EF4-FFF2-40B4-BE49-F238E27FC236}">
              <a16:creationId xmlns:a16="http://schemas.microsoft.com/office/drawing/2014/main" id="{3A924A13-2A19-46EF-B60A-A84975E44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447675</xdr:colOff>
      <xdr:row>23</xdr:row>
      <xdr:rowOff>156731</xdr:rowOff>
    </xdr:from>
    <xdr:to>
      <xdr:col>10</xdr:col>
      <xdr:colOff>571500</xdr:colOff>
      <xdr:row>37</xdr:row>
      <xdr:rowOff>1</xdr:rowOff>
    </xdr:to>
    <xdr:graphicFrame macro="">
      <xdr:nvGraphicFramePr>
        <xdr:cNvPr id="25" name="Chart 24">
          <a:extLst>
            <a:ext uri="{FF2B5EF4-FFF2-40B4-BE49-F238E27FC236}">
              <a16:creationId xmlns:a16="http://schemas.microsoft.com/office/drawing/2014/main" id="{6C39F2F9-CFD7-4E59-B7A5-8F4FE5F18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114820</xdr:colOff>
      <xdr:row>22</xdr:row>
      <xdr:rowOff>58016</xdr:rowOff>
    </xdr:from>
    <xdr:to>
      <xdr:col>9</xdr:col>
      <xdr:colOff>244360</xdr:colOff>
      <xdr:row>23</xdr:row>
      <xdr:rowOff>162790</xdr:rowOff>
    </xdr:to>
    <xdr:sp macro="" textlink="Gauge">
      <xdr:nvSpPr>
        <xdr:cNvPr id="26" name="Rectangle 25">
          <a:extLst>
            <a:ext uri="{FF2B5EF4-FFF2-40B4-BE49-F238E27FC236}">
              <a16:creationId xmlns:a16="http://schemas.microsoft.com/office/drawing/2014/main" id="{8C017586-0499-9031-844C-07E2D3F329CB}"/>
            </a:ext>
          </a:extLst>
        </xdr:cNvPr>
        <xdr:cNvSpPr/>
      </xdr:nvSpPr>
      <xdr:spPr>
        <a:xfrm>
          <a:off x="9981955640" y="4401416"/>
          <a:ext cx="2567940" cy="285749"/>
        </a:xfrm>
        <a:prstGeom prst="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fld id="{AEBC14F8-94BF-4895-8895-C56969867EB4}" type="TxLink">
            <a:rPr lang="fa-IR" sz="1100" b="1" i="0" u="none" strike="noStrike">
              <a:solidFill>
                <a:srgbClr val="000000"/>
              </a:solidFill>
              <a:latin typeface="Calibri"/>
              <a:cs typeface="Calibri"/>
            </a:rPr>
            <a:pPr algn="ctr" rtl="1"/>
            <a:t>میانگین شاخص ارزیابی کارکنان در ماه فروردین</a:t>
          </a:fld>
          <a:endParaRPr lang="en-US" sz="1100" b="1"/>
        </a:p>
      </xdr:txBody>
    </xdr:sp>
    <xdr:clientData/>
  </xdr:twoCellAnchor>
  <xdr:twoCellAnchor>
    <xdr:from>
      <xdr:col>5</xdr:col>
      <xdr:colOff>0</xdr:colOff>
      <xdr:row>24</xdr:row>
      <xdr:rowOff>1</xdr:rowOff>
    </xdr:from>
    <xdr:to>
      <xdr:col>5</xdr:col>
      <xdr:colOff>542925</xdr:colOff>
      <xdr:row>27</xdr:row>
      <xdr:rowOff>9526</xdr:rowOff>
    </xdr:to>
    <xdr:sp macro="" textlink="Calc!E29">
      <xdr:nvSpPr>
        <xdr:cNvPr id="28" name="Oval 27">
          <a:extLst>
            <a:ext uri="{FF2B5EF4-FFF2-40B4-BE49-F238E27FC236}">
              <a16:creationId xmlns:a16="http://schemas.microsoft.com/office/drawing/2014/main" id="{4F2A2893-CBCA-56F9-8698-2A3764AB822E}"/>
            </a:ext>
          </a:extLst>
        </xdr:cNvPr>
        <xdr:cNvSpPr/>
      </xdr:nvSpPr>
      <xdr:spPr>
        <a:xfrm>
          <a:off x="9984095475" y="4705351"/>
          <a:ext cx="542925" cy="5524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fld id="{270E8A77-CEB2-4474-AF9D-41E7A9FBB15E}" type="TxLink">
            <a:rPr lang="en-US" sz="1400" b="1" i="0" u="none" strike="noStrike">
              <a:solidFill>
                <a:srgbClr val="000000"/>
              </a:solidFill>
              <a:latin typeface="Calibri"/>
              <a:cs typeface="Calibri"/>
            </a:rPr>
            <a:pPr algn="ctr" rtl="1"/>
            <a:t>66</a:t>
          </a:fld>
          <a:endParaRPr lang="en-US" sz="1400" b="1"/>
        </a:p>
      </xdr:txBody>
    </xdr:sp>
    <xdr:clientData/>
  </xdr:twoCellAnchor>
  <xdr:twoCellAnchor>
    <xdr:from>
      <xdr:col>3</xdr:col>
      <xdr:colOff>95249</xdr:colOff>
      <xdr:row>5</xdr:row>
      <xdr:rowOff>180975</xdr:rowOff>
    </xdr:from>
    <xdr:to>
      <xdr:col>5</xdr:col>
      <xdr:colOff>380999</xdr:colOff>
      <xdr:row>6</xdr:row>
      <xdr:rowOff>114301</xdr:rowOff>
    </xdr:to>
    <xdr:sp macro="" textlink="title">
      <xdr:nvSpPr>
        <xdr:cNvPr id="29" name="Rectangle 28">
          <a:extLst>
            <a:ext uri="{FF2B5EF4-FFF2-40B4-BE49-F238E27FC236}">
              <a16:creationId xmlns:a16="http://schemas.microsoft.com/office/drawing/2014/main" id="{55B42CBF-96A8-38EB-70F5-933E89F25F65}"/>
            </a:ext>
          </a:extLst>
        </xdr:cNvPr>
        <xdr:cNvSpPr/>
      </xdr:nvSpPr>
      <xdr:spPr>
        <a:xfrm>
          <a:off x="9984257401" y="1266825"/>
          <a:ext cx="1504950" cy="2952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fld id="{5ABD43CA-D648-40EE-B371-1703B08D193D}" type="TxLink">
            <a:rPr lang="en-US" sz="1050" b="1" i="0" u="none" strike="noStrike">
              <a:solidFill>
                <a:srgbClr val="7030A0"/>
              </a:solidFill>
              <a:latin typeface="Calibri"/>
              <a:cs typeface="Calibri"/>
            </a:rPr>
            <a:pPr algn="ctr" rtl="1"/>
            <a:t> تعداد افراد ماه فروردین</a:t>
          </a:fld>
          <a:endParaRPr lang="en-US" sz="1050" b="1">
            <a:solidFill>
              <a:srgbClr val="7030A0"/>
            </a:solidFill>
          </a:endParaRPr>
        </a:p>
      </xdr:txBody>
    </xdr:sp>
    <xdr:clientData/>
  </xdr:twoCellAnchor>
  <xdr:twoCellAnchor>
    <xdr:from>
      <xdr:col>8</xdr:col>
      <xdr:colOff>582930</xdr:colOff>
      <xdr:row>5</xdr:row>
      <xdr:rowOff>207645</xdr:rowOff>
    </xdr:from>
    <xdr:to>
      <xdr:col>11</xdr:col>
      <xdr:colOff>259080</xdr:colOff>
      <xdr:row>6</xdr:row>
      <xdr:rowOff>140971</xdr:rowOff>
    </xdr:to>
    <xdr:sp macro="" textlink="title">
      <xdr:nvSpPr>
        <xdr:cNvPr id="31" name="Rectangle 30">
          <a:extLst>
            <a:ext uri="{FF2B5EF4-FFF2-40B4-BE49-F238E27FC236}">
              <a16:creationId xmlns:a16="http://schemas.microsoft.com/office/drawing/2014/main" id="{018B829A-FF95-483C-956C-785DE71BA631}"/>
            </a:ext>
          </a:extLst>
        </xdr:cNvPr>
        <xdr:cNvSpPr/>
      </xdr:nvSpPr>
      <xdr:spPr>
        <a:xfrm>
          <a:off x="9980721720" y="1293495"/>
          <a:ext cx="1504950" cy="29527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1050" b="1">
              <a:solidFill>
                <a:srgbClr val="7030A0"/>
              </a:solidFill>
            </a:rPr>
            <a:t>میانگین</a:t>
          </a:r>
          <a:r>
            <a:rPr lang="fa-IR" sz="1050" b="1" baseline="0">
              <a:solidFill>
                <a:srgbClr val="7030A0"/>
              </a:solidFill>
            </a:rPr>
            <a:t> سن کارکنان</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dis" refreshedDate="45980.719415277781" backgroundQuery="1" createdVersion="7" refreshedVersion="8" minRefreshableVersion="3" recordCount="0" supportSubquery="1" supportAdvancedDrill="1" xr:uid="{15A6BE3D-A95E-49A6-B1ED-7EF358CF35D2}">
  <cacheSource type="external" connectionId="2"/>
  <cacheFields count="1">
    <cacheField name="[Info].[دپارتمان].[دپارتمان]" caption="دپارتمان" numFmtId="0" hierarchy="1" level="1">
      <sharedItems count="5">
        <s v="حقوقی و قراردادی"/>
        <s v="فناوری اطلاعات"/>
        <s v="کنترل هزینه"/>
        <s v="منابع انسانی"/>
        <s v="مهندسی"/>
      </sharedItems>
    </cacheField>
  </cacheFields>
  <cacheHierarchies count="24">
    <cacheHierarchy uniqueName="[Info].[کد پرسنلی]" caption="کد پرسنلی" attribute="1" defaultMemberUniqueName="[Info].[کد پرسنلی].[All]" allUniqueName="[Info].[کد پرسنلی].[All]" dimensionUniqueName="[Info]" displayFolder="" count="0" memberValueDatatype="20" unbalanced="0"/>
    <cacheHierarchy uniqueName="[Info].[دپارتمان]" caption="دپارتمان" attribute="1" defaultMemberUniqueName="[Info].[دپارتمان].[All]" allUniqueName="[Info].[دپارتمان].[All]" dimensionUniqueName="[Info]" displayFolder="" count="2" memberValueDatatype="130" unbalanced="0">
      <fieldsUsage count="2">
        <fieldUsage x="-1"/>
        <fieldUsage x="0"/>
      </fieldsUsage>
    </cacheHierarchy>
    <cacheHierarchy uniqueName="[Info].[نام]" caption="نام" attribute="1" defaultMemberUniqueName="[Info].[نام].[All]" allUniqueName="[Info].[نام].[All]" dimensionUniqueName="[Info]" displayFolder="" count="0" memberValueDatatype="130" unbalanced="0"/>
    <cacheHierarchy uniqueName="[Info].[جنسیت]" caption="جنسیت" attribute="1" defaultMemberUniqueName="[Info].[جنسیت].[All]" allUniqueName="[Info].[جنسیت].[All]" dimensionUniqueName="[Info]" displayFolder="" count="0" memberValueDatatype="130" unbalanced="0"/>
    <cacheHierarchy uniqueName="[Info].[نوع قرارداد]" caption="نوع قرارداد" attribute="1" defaultMemberUniqueName="[Info].[نوع قرارداد].[All]" allUniqueName="[Info].[نوع قرارداد].[All]" dimensionUniqueName="[Info]" displayFolder="" count="0" memberValueDatatype="130" unbalanced="0"/>
    <cacheHierarchy uniqueName="[Info].[تاریخ تولد]" caption="تاریخ تولد" attribute="1" time="1" defaultMemberUniqueName="[Info].[تاریخ تولد].[All]" allUniqueName="[Info].[تاریخ تولد].[All]" dimensionUniqueName="[Info]" displayFolder="" count="0" memberValueDatatype="7" unbalanced="0"/>
    <cacheHierarchy uniqueName="[Info].[سن]" caption="سن" attribute="1" defaultMemberUniqueName="[Info].[سن].[All]" allUniqueName="[Info].[سن].[All]" dimensionUniqueName="[Info]" displayFolder="" count="0" memberValueDatatype="20" unbalanced="0"/>
    <cacheHierarchy uniqueName="[Info].[ماه تولد]" caption="ماه تولد" attribute="1" defaultMemberUniqueName="[Info].[ماه تولد].[All]" allUniqueName="[Info].[ماه تولد].[All]" dimensionUniqueName="[Info]" displayFolder="" count="0" memberValueDatatype="20" unbalanced="0"/>
    <cacheHierarchy uniqueName="[Salary].[کد پرسنلی]" caption="کد پرسنلی" attribute="1" defaultMemberUniqueName="[Salary].[کد پرسنلی].[All]" allUniqueName="[Salary].[کد پرسنلی].[All]" dimensionUniqueName="[Salary]" displayFolder="" count="0" memberValueDatatype="20" unbalanced="0"/>
    <cacheHierarchy uniqueName="[Salary].[شاخص ارزیابی]" caption="شاخص ارزیابی" attribute="1" defaultMemberUniqueName="[Salary].[شاخص ارزیابی].[All]" allUniqueName="[Salary].[شاخص ارزیابی].[All]" dimensionUniqueName="[Salary]" displayFolder="" count="0" memberValueDatatype="20" unbalanced="0"/>
    <cacheHierarchy uniqueName="[Salary].[index1]" caption="index1" attribute="1" defaultMemberUniqueName="[Salary].[index1].[All]" allUniqueName="[Salary].[index1].[All]" dimensionUniqueName="[Salary]" displayFolder="" count="0" memberValueDatatype="20" unbalanced="0"/>
    <cacheHierarchy uniqueName="[Salary].[ماه]" caption="ماه" attribute="1" defaultMemberUniqueName="[Salary].[ماه].[All]" allUniqueName="[Salary].[ماه].[All]" dimensionUniqueName="[Salary]" displayFolder="" count="0" memberValueDatatype="130" unbalanced="0"/>
    <cacheHierarchy uniqueName="[Salary].[پایه حقوق]" caption="پایه حقوق" attribute="1" defaultMemberUniqueName="[Salary].[پایه حقوق].[All]" allUniqueName="[Salary].[پایه حقوق].[All]" dimensionUniqueName="[Salary]" displayFolder="" count="0" memberValueDatatype="20" unbalanced="0"/>
    <cacheHierarchy uniqueName="[Salary].[پاداش]" caption="پاداش" attribute="1" defaultMemberUniqueName="[Salary].[پاداش].[All]" allUniqueName="[Salary].[پاداش].[All]" dimensionUniqueName="[Salary]" displayFolder="" count="0" memberValueDatatype="5" unbalanced="0"/>
    <cacheHierarchy uniqueName="[Salary].[ناخالص]" caption="ناخالص" attribute="1" defaultMemberUniqueName="[Salary].[ناخالص].[All]" allUniqueName="[Salary].[ناخالص].[All]" dimensionUniqueName="[Salary]" displayFolder="" count="0" memberValueDatatype="20" unbalanced="0"/>
    <cacheHierarchy uniqueName="[Salary].[بیمه کارفرما]" caption="بیمه کارفرما" attribute="1" defaultMemberUniqueName="[Salary].[بیمه کارفرما].[All]" allUniqueName="[Salary].[بیمه کارفرما].[All]" dimensionUniqueName="[Salary]" displayFolder="" count="0" memberValueDatatype="20" unbalanced="0"/>
    <cacheHierarchy uniqueName="[Salary].[بیمه]" caption="بیمه" attribute="1" defaultMemberUniqueName="[Salary].[بیمه].[All]" allUniqueName="[Salary].[بیمه].[All]" dimensionUniqueName="[Salary]" displayFolder="" count="0" memberValueDatatype="5" unbalanced="0"/>
    <cacheHierarchy uniqueName="[Salary].[مالیات]" caption="مالیات" attribute="1" defaultMemberUniqueName="[Salary].[مالیات].[All]" allUniqueName="[Salary].[مالیات].[All]" dimensionUniqueName="[Salary]" displayFolder="" count="0" memberValueDatatype="20" unbalanced="0"/>
    <cacheHierarchy uniqueName="[Salary].[خالص دریافتی]" caption="خالص دریافتی" attribute="1" defaultMemberUniqueName="[Salary].[خالص دریافتی].[All]" allUniqueName="[Salary].[خالص دریافتی].[All]" dimensionUniqueName="[Salary]" displayFolder="" count="0" memberValueDatatype="20" unbalanced="0"/>
    <cacheHierarchy uniqueName="[Salary].[Index]" caption="Index" attribute="1" defaultMemberUniqueName="[Salary].[Index].[All]" allUniqueName="[Salary].[Index].[All]" dimensionUniqueName="[Salary]" displayFolder="" count="0" memberValueDatatype="130" unbalanced="0"/>
    <cacheHierarchy uniqueName="[Measures].[__XL_Count Info]" caption="__XL_Count Info" measure="1" displayFolder="" measureGroup="Info" count="0" hidden="1"/>
    <cacheHierarchy uniqueName="[Measures].[__XL_Count Salary]" caption="__XL_Count Salary" measure="1" displayFolder="" measureGroup="Salary" count="0" hidden="1"/>
    <cacheHierarchy uniqueName="[Measures].[__No measures defined]" caption="__No measures defined" measure="1" displayFolder="" count="0" hidden="1"/>
    <cacheHierarchy uniqueName="[Measures].[Count of جنسیت]" caption="Count of جنسیت" measure="1" displayFolder="" measureGroup="Info" count="0" hidden="1">
      <extLst>
        <ext xmlns:x15="http://schemas.microsoft.com/office/spreadsheetml/2010/11/main" uri="{B97F6D7D-B522-45F9-BDA1-12C45D357490}">
          <x15:cacheHierarchy aggregatedColumn="3"/>
        </ext>
      </extLst>
    </cacheHierarchy>
  </cacheHierarchies>
  <kpis count="0"/>
  <dimensions count="3">
    <dimension name="Info" uniqueName="[Info]" caption="Info"/>
    <dimension measure="1" name="Measures" uniqueName="[Measures]" caption="Measures"/>
    <dimension name="Salary" uniqueName="[Salary]" caption="Salary"/>
  </dimensions>
  <measureGroups count="2">
    <measureGroup name="Info" caption="Info"/>
    <measureGroup name="Salary" caption="Salary"/>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dis" refreshedDate="45980.71942199074" backgroundQuery="1" createdVersion="8" refreshedVersion="8" minRefreshableVersion="3" recordCount="0" supportSubquery="1" supportAdvancedDrill="1" xr:uid="{1A508F1A-5A42-4406-B615-D0E50EE4D223}">
  <cacheSource type="external" connectionId="2"/>
  <cacheFields count="3">
    <cacheField name="[Info].[دپارتمان].[دپارتمان]" caption="دپارتمان" numFmtId="0" hierarchy="1" level="1">
      <sharedItems count="5">
        <s v="حقوقی و قراردادی"/>
        <s v="فناوری اطلاعات"/>
        <s v="کنترل هزینه"/>
        <s v="منابع انسانی"/>
        <s v="مهندسی"/>
      </sharedItems>
    </cacheField>
    <cacheField name="[Info].[جنسیت].[جنسیت]" caption="جنسیت" numFmtId="0" hierarchy="3" level="1">
      <sharedItems count="2">
        <s v="زن"/>
        <s v="مرد"/>
      </sharedItems>
    </cacheField>
    <cacheField name="[Measures].[Count of جنسیت]" caption="Count of جنسیت" numFmtId="0" hierarchy="23" level="32767"/>
  </cacheFields>
  <cacheHierarchies count="24">
    <cacheHierarchy uniqueName="[Info].[کد پرسنلی]" caption="کد پرسنلی" attribute="1" defaultMemberUniqueName="[Info].[کد پرسنلی].[All]" allUniqueName="[Info].[کد پرسنلی].[All]" dimensionUniqueName="[Info]" displayFolder="" count="0" memberValueDatatype="20" unbalanced="0"/>
    <cacheHierarchy uniqueName="[Info].[دپارتمان]" caption="دپارتمان" attribute="1" defaultMemberUniqueName="[Info].[دپارتمان].[All]" allUniqueName="[Info].[دپارتمان].[All]" dimensionUniqueName="[Info]" displayFolder="" count="2" memberValueDatatype="130" unbalanced="0">
      <fieldsUsage count="2">
        <fieldUsage x="-1"/>
        <fieldUsage x="0"/>
      </fieldsUsage>
    </cacheHierarchy>
    <cacheHierarchy uniqueName="[Info].[نام]" caption="نام" attribute="1" defaultMemberUniqueName="[Info].[نام].[All]" allUniqueName="[Info].[نام].[All]" dimensionUniqueName="[Info]" displayFolder="" count="0" memberValueDatatype="130" unbalanced="0"/>
    <cacheHierarchy uniqueName="[Info].[جنسیت]" caption="جنسیت" attribute="1" defaultMemberUniqueName="[Info].[جنسیت].[All]" allUniqueName="[Info].[جنسیت].[All]" dimensionUniqueName="[Info]" displayFolder="" count="2" memberValueDatatype="130" unbalanced="0">
      <fieldsUsage count="2">
        <fieldUsage x="-1"/>
        <fieldUsage x="1"/>
      </fieldsUsage>
    </cacheHierarchy>
    <cacheHierarchy uniqueName="[Info].[نوع قرارداد]" caption="نوع قرارداد" attribute="1" defaultMemberUniqueName="[Info].[نوع قرارداد].[All]" allUniqueName="[Info].[نوع قرارداد].[All]" dimensionUniqueName="[Info]" displayFolder="" count="0" memberValueDatatype="130" unbalanced="0"/>
    <cacheHierarchy uniqueName="[Info].[تاریخ تولد]" caption="تاریخ تولد" attribute="1" time="1" defaultMemberUniqueName="[Info].[تاریخ تولد].[All]" allUniqueName="[Info].[تاریخ تولد].[All]" dimensionUniqueName="[Info]" displayFolder="" count="0" memberValueDatatype="7" unbalanced="0"/>
    <cacheHierarchy uniqueName="[Info].[سن]" caption="سن" attribute="1" defaultMemberUniqueName="[Info].[سن].[All]" allUniqueName="[Info].[سن].[All]" dimensionUniqueName="[Info]" displayFolder="" count="0" memberValueDatatype="20" unbalanced="0"/>
    <cacheHierarchy uniqueName="[Info].[ماه تولد]" caption="ماه تولد" attribute="1" defaultMemberUniqueName="[Info].[ماه تولد].[All]" allUniqueName="[Info].[ماه تولد].[All]" dimensionUniqueName="[Info]" displayFolder="" count="0" memberValueDatatype="20" unbalanced="0"/>
    <cacheHierarchy uniqueName="[Salary].[کد پرسنلی]" caption="کد پرسنلی" attribute="1" defaultMemberUniqueName="[Salary].[کد پرسنلی].[All]" allUniqueName="[Salary].[کد پرسنلی].[All]" dimensionUniqueName="[Salary]" displayFolder="" count="0" memberValueDatatype="20" unbalanced="0"/>
    <cacheHierarchy uniqueName="[Salary].[شاخص ارزیابی]" caption="شاخص ارزیابی" attribute="1" defaultMemberUniqueName="[Salary].[شاخص ارزیابی].[All]" allUniqueName="[Salary].[شاخص ارزیابی].[All]" dimensionUniqueName="[Salary]" displayFolder="" count="0" memberValueDatatype="20" unbalanced="0"/>
    <cacheHierarchy uniqueName="[Salary].[index1]" caption="index1" attribute="1" defaultMemberUniqueName="[Salary].[index1].[All]" allUniqueName="[Salary].[index1].[All]" dimensionUniqueName="[Salary]" displayFolder="" count="0" memberValueDatatype="20" unbalanced="0"/>
    <cacheHierarchy uniqueName="[Salary].[ماه]" caption="ماه" attribute="1" defaultMemberUniqueName="[Salary].[ماه].[All]" allUniqueName="[Salary].[ماه].[All]" dimensionUniqueName="[Salary]" displayFolder="" count="0" memberValueDatatype="130" unbalanced="0"/>
    <cacheHierarchy uniqueName="[Salary].[پایه حقوق]" caption="پایه حقوق" attribute="1" defaultMemberUniqueName="[Salary].[پایه حقوق].[All]" allUniqueName="[Salary].[پایه حقوق].[All]" dimensionUniqueName="[Salary]" displayFolder="" count="0" memberValueDatatype="20" unbalanced="0"/>
    <cacheHierarchy uniqueName="[Salary].[پاداش]" caption="پاداش" attribute="1" defaultMemberUniqueName="[Salary].[پاداش].[All]" allUniqueName="[Salary].[پاداش].[All]" dimensionUniqueName="[Salary]" displayFolder="" count="0" memberValueDatatype="5" unbalanced="0"/>
    <cacheHierarchy uniqueName="[Salary].[ناخالص]" caption="ناخالص" attribute="1" defaultMemberUniqueName="[Salary].[ناخالص].[All]" allUniqueName="[Salary].[ناخالص].[All]" dimensionUniqueName="[Salary]" displayFolder="" count="0" memberValueDatatype="20" unbalanced="0"/>
    <cacheHierarchy uniqueName="[Salary].[بیمه کارفرما]" caption="بیمه کارفرما" attribute="1" defaultMemberUniqueName="[Salary].[بیمه کارفرما].[All]" allUniqueName="[Salary].[بیمه کارفرما].[All]" dimensionUniqueName="[Salary]" displayFolder="" count="0" memberValueDatatype="20" unbalanced="0"/>
    <cacheHierarchy uniqueName="[Salary].[بیمه]" caption="بیمه" attribute="1" defaultMemberUniqueName="[Salary].[بیمه].[All]" allUniqueName="[Salary].[بیمه].[All]" dimensionUniqueName="[Salary]" displayFolder="" count="0" memberValueDatatype="5" unbalanced="0"/>
    <cacheHierarchy uniqueName="[Salary].[مالیات]" caption="مالیات" attribute="1" defaultMemberUniqueName="[Salary].[مالیات].[All]" allUniqueName="[Salary].[مالیات].[All]" dimensionUniqueName="[Salary]" displayFolder="" count="0" memberValueDatatype="20" unbalanced="0"/>
    <cacheHierarchy uniqueName="[Salary].[خالص دریافتی]" caption="خالص دریافتی" attribute="1" defaultMemberUniqueName="[Salary].[خالص دریافتی].[All]" allUniqueName="[Salary].[خالص دریافتی].[All]" dimensionUniqueName="[Salary]" displayFolder="" count="0" memberValueDatatype="20" unbalanced="0"/>
    <cacheHierarchy uniqueName="[Salary].[Index]" caption="Index" attribute="1" defaultMemberUniqueName="[Salary].[Index].[All]" allUniqueName="[Salary].[Index].[All]" dimensionUniqueName="[Salary]" displayFolder="" count="0" memberValueDatatype="130" unbalanced="0"/>
    <cacheHierarchy uniqueName="[Measures].[__XL_Count Info]" caption="__XL_Count Info" measure="1" displayFolder="" measureGroup="Info" count="0" hidden="1"/>
    <cacheHierarchy uniqueName="[Measures].[__XL_Count Salary]" caption="__XL_Count Salary" measure="1" displayFolder="" measureGroup="Salary" count="0" hidden="1"/>
    <cacheHierarchy uniqueName="[Measures].[__No measures defined]" caption="__No measures defined" measure="1" displayFolder="" count="0" hidden="1"/>
    <cacheHierarchy uniqueName="[Measures].[Count of جنسیت]" caption="Count of جنسیت" measure="1" displayFolder="" measureGroup="Info"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3">
    <dimension name="Info" uniqueName="[Info]" caption="Info"/>
    <dimension measure="1" name="Measures" uniqueName="[Measures]" caption="Measures"/>
    <dimension name="Salary" uniqueName="[Salary]" caption="Salary"/>
  </dimensions>
  <measureGroups count="2">
    <measureGroup name="Info" caption="Info"/>
    <measureGroup name="Salary" caption="Salary"/>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dis" refreshedDate="45980.719422916663" backgroundQuery="1" createdVersion="8" refreshedVersion="8" minRefreshableVersion="3" recordCount="0" supportSubquery="1" supportAdvancedDrill="1" xr:uid="{AA58FE7F-07D8-43AC-A698-CD3CFC4549D4}">
  <cacheSource type="external" connectionId="2"/>
  <cacheFields count="3">
    <cacheField name="[Info].[نوع قرارداد].[نوع قرارداد]" caption="نوع قرارداد" numFmtId="0" hierarchy="4" level="1">
      <sharedItems count="2">
        <s v="پاره وقت"/>
        <s v="تمام وقت"/>
      </sharedItems>
    </cacheField>
    <cacheField name="[Info].[جنسیت].[جنسیت]" caption="جنسیت" numFmtId="0" hierarchy="3" level="1">
      <sharedItems count="2">
        <s v="زن"/>
        <s v="مرد"/>
      </sharedItems>
    </cacheField>
    <cacheField name="[Measures].[Count of جنسیت]" caption="Count of جنسیت" numFmtId="0" hierarchy="23" level="32767"/>
  </cacheFields>
  <cacheHierarchies count="24">
    <cacheHierarchy uniqueName="[Info].[کد پرسنلی]" caption="کد پرسنلی" attribute="1" defaultMemberUniqueName="[Info].[کد پرسنلی].[All]" allUniqueName="[Info].[کد پرسنلی].[All]" dimensionUniqueName="[Info]" displayFolder="" count="0" memberValueDatatype="20" unbalanced="0"/>
    <cacheHierarchy uniqueName="[Info].[دپارتمان]" caption="دپارتمان" attribute="1" defaultMemberUniqueName="[Info].[دپارتمان].[All]" allUniqueName="[Info].[دپارتمان].[All]" dimensionUniqueName="[Info]" displayFolder="" count="0" memberValueDatatype="130" unbalanced="0"/>
    <cacheHierarchy uniqueName="[Info].[نام]" caption="نام" attribute="1" defaultMemberUniqueName="[Info].[نام].[All]" allUniqueName="[Info].[نام].[All]" dimensionUniqueName="[Info]" displayFolder="" count="0" memberValueDatatype="130" unbalanced="0"/>
    <cacheHierarchy uniqueName="[Info].[جنسیت]" caption="جنسیت" attribute="1" defaultMemberUniqueName="[Info].[جنسیت].[All]" allUniqueName="[Info].[جنسیت].[All]" dimensionUniqueName="[Info]" displayFolder="" count="2" memberValueDatatype="130" unbalanced="0">
      <fieldsUsage count="2">
        <fieldUsage x="-1"/>
        <fieldUsage x="1"/>
      </fieldsUsage>
    </cacheHierarchy>
    <cacheHierarchy uniqueName="[Info].[نوع قرارداد]" caption="نوع قرارداد" attribute="1" defaultMemberUniqueName="[Info].[نوع قرارداد].[All]" allUniqueName="[Info].[نوع قرارداد].[All]" dimensionUniqueName="[Info]" displayFolder="" count="2" memberValueDatatype="130" unbalanced="0">
      <fieldsUsage count="2">
        <fieldUsage x="-1"/>
        <fieldUsage x="0"/>
      </fieldsUsage>
    </cacheHierarchy>
    <cacheHierarchy uniqueName="[Info].[تاریخ تولد]" caption="تاریخ تولد" attribute="1" time="1" defaultMemberUniqueName="[Info].[تاریخ تولد].[All]" allUniqueName="[Info].[تاریخ تولد].[All]" dimensionUniqueName="[Info]" displayFolder="" count="0" memberValueDatatype="7" unbalanced="0"/>
    <cacheHierarchy uniqueName="[Info].[سن]" caption="سن" attribute="1" defaultMemberUniqueName="[Info].[سن].[All]" allUniqueName="[Info].[سن].[All]" dimensionUniqueName="[Info]" displayFolder="" count="0" memberValueDatatype="20" unbalanced="0"/>
    <cacheHierarchy uniqueName="[Info].[ماه تولد]" caption="ماه تولد" attribute="1" defaultMemberUniqueName="[Info].[ماه تولد].[All]" allUniqueName="[Info].[ماه تولد].[All]" dimensionUniqueName="[Info]" displayFolder="" count="0" memberValueDatatype="20" unbalanced="0"/>
    <cacheHierarchy uniqueName="[Salary].[کد پرسنلی]" caption="کد پرسنلی" attribute="1" defaultMemberUniqueName="[Salary].[کد پرسنلی].[All]" allUniqueName="[Salary].[کد پرسنلی].[All]" dimensionUniqueName="[Salary]" displayFolder="" count="0" memberValueDatatype="20" unbalanced="0"/>
    <cacheHierarchy uniqueName="[Salary].[شاخص ارزیابی]" caption="شاخص ارزیابی" attribute="1" defaultMemberUniqueName="[Salary].[شاخص ارزیابی].[All]" allUniqueName="[Salary].[شاخص ارزیابی].[All]" dimensionUniqueName="[Salary]" displayFolder="" count="0" memberValueDatatype="20" unbalanced="0"/>
    <cacheHierarchy uniqueName="[Salary].[index1]" caption="index1" attribute="1" defaultMemberUniqueName="[Salary].[index1].[All]" allUniqueName="[Salary].[index1].[All]" dimensionUniqueName="[Salary]" displayFolder="" count="0" memberValueDatatype="20" unbalanced="0"/>
    <cacheHierarchy uniqueName="[Salary].[ماه]" caption="ماه" attribute="1" defaultMemberUniqueName="[Salary].[ماه].[All]" allUniqueName="[Salary].[ماه].[All]" dimensionUniqueName="[Salary]" displayFolder="" count="0" memberValueDatatype="130" unbalanced="0"/>
    <cacheHierarchy uniqueName="[Salary].[پایه حقوق]" caption="پایه حقوق" attribute="1" defaultMemberUniqueName="[Salary].[پایه حقوق].[All]" allUniqueName="[Salary].[پایه حقوق].[All]" dimensionUniqueName="[Salary]" displayFolder="" count="0" memberValueDatatype="20" unbalanced="0"/>
    <cacheHierarchy uniqueName="[Salary].[پاداش]" caption="پاداش" attribute="1" defaultMemberUniqueName="[Salary].[پاداش].[All]" allUniqueName="[Salary].[پاداش].[All]" dimensionUniqueName="[Salary]" displayFolder="" count="0" memberValueDatatype="5" unbalanced="0"/>
    <cacheHierarchy uniqueName="[Salary].[ناخالص]" caption="ناخالص" attribute="1" defaultMemberUniqueName="[Salary].[ناخالص].[All]" allUniqueName="[Salary].[ناخالص].[All]" dimensionUniqueName="[Salary]" displayFolder="" count="0" memberValueDatatype="20" unbalanced="0"/>
    <cacheHierarchy uniqueName="[Salary].[بیمه کارفرما]" caption="بیمه کارفرما" attribute="1" defaultMemberUniqueName="[Salary].[بیمه کارفرما].[All]" allUniqueName="[Salary].[بیمه کارفرما].[All]" dimensionUniqueName="[Salary]" displayFolder="" count="0" memberValueDatatype="20" unbalanced="0"/>
    <cacheHierarchy uniqueName="[Salary].[بیمه]" caption="بیمه" attribute="1" defaultMemberUniqueName="[Salary].[بیمه].[All]" allUniqueName="[Salary].[بیمه].[All]" dimensionUniqueName="[Salary]" displayFolder="" count="0" memberValueDatatype="5" unbalanced="0"/>
    <cacheHierarchy uniqueName="[Salary].[مالیات]" caption="مالیات" attribute="1" defaultMemberUniqueName="[Salary].[مالیات].[All]" allUniqueName="[Salary].[مالیات].[All]" dimensionUniqueName="[Salary]" displayFolder="" count="0" memberValueDatatype="20" unbalanced="0"/>
    <cacheHierarchy uniqueName="[Salary].[خالص دریافتی]" caption="خالص دریافتی" attribute="1" defaultMemberUniqueName="[Salary].[خالص دریافتی].[All]" allUniqueName="[Salary].[خالص دریافتی].[All]" dimensionUniqueName="[Salary]" displayFolder="" count="0" memberValueDatatype="20" unbalanced="0"/>
    <cacheHierarchy uniqueName="[Salary].[Index]" caption="Index" attribute="1" defaultMemberUniqueName="[Salary].[Index].[All]" allUniqueName="[Salary].[Index].[All]" dimensionUniqueName="[Salary]" displayFolder="" count="0" memberValueDatatype="130" unbalanced="0"/>
    <cacheHierarchy uniqueName="[Measures].[__XL_Count Info]" caption="__XL_Count Info" measure="1" displayFolder="" measureGroup="Info" count="0" hidden="1"/>
    <cacheHierarchy uniqueName="[Measures].[__XL_Count Salary]" caption="__XL_Count Salary" measure="1" displayFolder="" measureGroup="Salary" count="0" hidden="1"/>
    <cacheHierarchy uniqueName="[Measures].[__No measures defined]" caption="__No measures defined" measure="1" displayFolder="" count="0" hidden="1"/>
    <cacheHierarchy uniqueName="[Measures].[Count of جنسیت]" caption="Count of جنسیت" measure="1" displayFolder="" measureGroup="Info"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3">
    <dimension name="Info" uniqueName="[Info]" caption="Info"/>
    <dimension measure="1" name="Measures" uniqueName="[Measures]" caption="Measures"/>
    <dimension name="Salary" uniqueName="[Salary]" caption="Salary"/>
  </dimensions>
  <measureGroups count="2">
    <measureGroup name="Info" caption="Info"/>
    <measureGroup name="Salary" caption="Salary"/>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dis" refreshedDate="45980.753770023148" backgroundQuery="1" createdVersion="8" refreshedVersion="8" minRefreshableVersion="3" recordCount="0" supportSubquery="1" supportAdvancedDrill="1" xr:uid="{EF13F622-2E16-4E6A-AA79-587AA78C81EE}">
  <cacheSource type="external" connectionId="2"/>
  <cacheFields count="3">
    <cacheField name="[Info].[جنسیت].[جنسیت]" caption="جنسیت" numFmtId="0" hierarchy="3" level="1">
      <sharedItems count="2">
        <s v="زن"/>
        <s v="مرد"/>
      </sharedItems>
    </cacheField>
    <cacheField name="[Measures].[Count of جنسیت]" caption="Count of جنسیت" numFmtId="0" hierarchy="23" level="32767"/>
    <cacheField name="[Salary].[ماه].[ماه]" caption="ماه" numFmtId="0" hierarchy="11" level="1">
      <sharedItems containsSemiMixedTypes="0" containsNonDate="0" containsString="0"/>
    </cacheField>
  </cacheFields>
  <cacheHierarchies count="24">
    <cacheHierarchy uniqueName="[Info].[کد پرسنلی]" caption="کد پرسنلی" attribute="1" defaultMemberUniqueName="[Info].[کد پرسنلی].[All]" allUniqueName="[Info].[کد پرسنلی].[All]" dimensionUniqueName="[Info]" displayFolder="" count="2" memberValueDatatype="20" unbalanced="0"/>
    <cacheHierarchy uniqueName="[Info].[دپارتمان]" caption="دپارتمان" attribute="1" defaultMemberUniqueName="[Info].[دپارتمان].[All]" allUniqueName="[Info].[دپارتمان].[All]" dimensionUniqueName="[Info]" displayFolder="" count="2" memberValueDatatype="130" unbalanced="0"/>
    <cacheHierarchy uniqueName="[Info].[نام]" caption="نام" attribute="1" defaultMemberUniqueName="[Info].[نام].[All]" allUniqueName="[Info].[نام].[All]" dimensionUniqueName="[Info]" displayFolder="" count="2" memberValueDatatype="130" unbalanced="0"/>
    <cacheHierarchy uniqueName="[Info].[جنسیت]" caption="جنسیت" attribute="1" defaultMemberUniqueName="[Info].[جنسیت].[All]" allUniqueName="[Info].[جنسیت].[All]" dimensionUniqueName="[Info]" displayFolder="" count="2" memberValueDatatype="130" unbalanced="0">
      <fieldsUsage count="2">
        <fieldUsage x="-1"/>
        <fieldUsage x="0"/>
      </fieldsUsage>
    </cacheHierarchy>
    <cacheHierarchy uniqueName="[Info].[نوع قرارداد]" caption="نوع قرارداد" attribute="1" defaultMemberUniqueName="[Info].[نوع قرارداد].[All]" allUniqueName="[Info].[نوع قرارداد].[All]" dimensionUniqueName="[Info]" displayFolder="" count="2" memberValueDatatype="130" unbalanced="0"/>
    <cacheHierarchy uniqueName="[Info].[تاریخ تولد]" caption="تاریخ تولد" attribute="1" time="1" defaultMemberUniqueName="[Info].[تاریخ تولد].[All]" allUniqueName="[Info].[تاریخ تولد].[All]" dimensionUniqueName="[Info]" displayFolder="" count="2" memberValueDatatype="7" unbalanced="0"/>
    <cacheHierarchy uniqueName="[Info].[سن]" caption="سن" attribute="1" defaultMemberUniqueName="[Info].[سن].[All]" allUniqueName="[Info].[سن].[All]" dimensionUniqueName="[Info]" displayFolder="" count="2" memberValueDatatype="20" unbalanced="0"/>
    <cacheHierarchy uniqueName="[Info].[ماه تولد]" caption="ماه تولد" attribute="1" defaultMemberUniqueName="[Info].[ماه تولد].[All]" allUniqueName="[Info].[ماه تولد].[All]" dimensionUniqueName="[Info]" displayFolder="" count="2" memberValueDatatype="20" unbalanced="0"/>
    <cacheHierarchy uniqueName="[Salary].[کد پرسنلی]" caption="کد پرسنلی" attribute="1" defaultMemberUniqueName="[Salary].[کد پرسنلی].[All]" allUniqueName="[Salary].[کد پرسنلی].[All]" dimensionUniqueName="[Salary]" displayFolder="" count="2" memberValueDatatype="20" unbalanced="0"/>
    <cacheHierarchy uniqueName="[Salary].[شاخص ارزیابی]" caption="شاخص ارزیابی" attribute="1" defaultMemberUniqueName="[Salary].[شاخص ارزیابی].[All]" allUniqueName="[Salary].[شاخص ارزیابی].[All]" dimensionUniqueName="[Salary]" displayFolder="" count="2" memberValueDatatype="20" unbalanced="0"/>
    <cacheHierarchy uniqueName="[Salary].[index1]" caption="index1" attribute="1" defaultMemberUniqueName="[Salary].[index1].[All]" allUniqueName="[Salary].[index1].[All]" dimensionUniqueName="[Salary]" displayFolder="" count="2" memberValueDatatype="20" unbalanced="0"/>
    <cacheHierarchy uniqueName="[Salary].[ماه]" caption="ماه" attribute="1" defaultMemberUniqueName="[Salary].[ماه].[All]" allUniqueName="[Salary].[ماه].[All]" dimensionUniqueName="[Salary]" displayFolder="" count="2" memberValueDatatype="130" unbalanced="0">
      <fieldsUsage count="2">
        <fieldUsage x="-1"/>
        <fieldUsage x="2"/>
      </fieldsUsage>
    </cacheHierarchy>
    <cacheHierarchy uniqueName="[Salary].[پایه حقوق]" caption="پایه حقوق" attribute="1" defaultMemberUniqueName="[Salary].[پایه حقوق].[All]" allUniqueName="[Salary].[پایه حقوق].[All]" dimensionUniqueName="[Salary]" displayFolder="" count="2" memberValueDatatype="20" unbalanced="0"/>
    <cacheHierarchy uniqueName="[Salary].[پاداش]" caption="پاداش" attribute="1" defaultMemberUniqueName="[Salary].[پاداش].[All]" allUniqueName="[Salary].[پاداش].[All]" dimensionUniqueName="[Salary]" displayFolder="" count="2" memberValueDatatype="5" unbalanced="0"/>
    <cacheHierarchy uniqueName="[Salary].[ناخالص]" caption="ناخالص" attribute="1" defaultMemberUniqueName="[Salary].[ناخالص].[All]" allUniqueName="[Salary].[ناخالص].[All]" dimensionUniqueName="[Salary]" displayFolder="" count="2" memberValueDatatype="20" unbalanced="0"/>
    <cacheHierarchy uniqueName="[Salary].[بیمه کارفرما]" caption="بیمه کارفرما" attribute="1" defaultMemberUniqueName="[Salary].[بیمه کارفرما].[All]" allUniqueName="[Salary].[بیمه کارفرما].[All]" dimensionUniqueName="[Salary]" displayFolder="" count="2" memberValueDatatype="20" unbalanced="0"/>
    <cacheHierarchy uniqueName="[Salary].[بیمه]" caption="بیمه" attribute="1" defaultMemberUniqueName="[Salary].[بیمه].[All]" allUniqueName="[Salary].[بیمه].[All]" dimensionUniqueName="[Salary]" displayFolder="" count="2" memberValueDatatype="5" unbalanced="0"/>
    <cacheHierarchy uniqueName="[Salary].[مالیات]" caption="مالیات" attribute="1" defaultMemberUniqueName="[Salary].[مالیات].[All]" allUniqueName="[Salary].[مالیات].[All]" dimensionUniqueName="[Salary]" displayFolder="" count="2" memberValueDatatype="20" unbalanced="0"/>
    <cacheHierarchy uniqueName="[Salary].[خالص دریافتی]" caption="خالص دریافتی" attribute="1" defaultMemberUniqueName="[Salary].[خالص دریافتی].[All]" allUniqueName="[Salary].[خالص دریافتی].[All]" dimensionUniqueName="[Salary]" displayFolder="" count="2" memberValueDatatype="20" unbalanced="0"/>
    <cacheHierarchy uniqueName="[Salary].[Index]" caption="Index" attribute="1" defaultMemberUniqueName="[Salary].[Index].[All]" allUniqueName="[Salary].[Index].[All]" dimensionUniqueName="[Salary]" displayFolder="" count="2" memberValueDatatype="130" unbalanced="0"/>
    <cacheHierarchy uniqueName="[Measures].[__XL_Count Info]" caption="__XL_Count Info" measure="1" displayFolder="" measureGroup="Info" count="0" hidden="1"/>
    <cacheHierarchy uniqueName="[Measures].[__XL_Count Salary]" caption="__XL_Count Salary" measure="1" displayFolder="" measureGroup="Salary" count="0" hidden="1"/>
    <cacheHierarchy uniqueName="[Measures].[__No measures defined]" caption="__No measures defined" measure="1" displayFolder="" count="0" hidden="1"/>
    <cacheHierarchy uniqueName="[Measures].[Count of جنسیت]" caption="Count of جنسیت" measure="1" displayFolder="" measureGroup="Info"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3">
    <dimension name="Info" uniqueName="[Info]" caption="Info"/>
    <dimension measure="1" name="Measures" uniqueName="[Measures]" caption="Measures"/>
    <dimension name="Salary" uniqueName="[Salary]" caption="Salary"/>
  </dimensions>
  <measureGroups count="2">
    <measureGroup name="Info" caption="Info"/>
    <measureGroup name="Salary" caption="Salary"/>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rdis" refreshedDate="45980.719416550928" backgroundQuery="1" createdVersion="3" refreshedVersion="8" minRefreshableVersion="3" recordCount="0" supportSubquery="1" supportAdvancedDrill="1" xr:uid="{7A737DFF-037B-4E05-BE23-526C13C902D2}">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Info].[کد پرسنلی]" caption="کد پرسنلی" attribute="1" defaultMemberUniqueName="[Info].[کد پرسنلی].[All]" allUniqueName="[Info].[کد پرسنلی].[All]" dimensionUniqueName="[Info]" displayFolder="" count="0" memberValueDatatype="20" unbalanced="0"/>
    <cacheHierarchy uniqueName="[Info].[دپارتمان]" caption="دپارتمان" attribute="1" defaultMemberUniqueName="[Info].[دپارتمان].[All]" allUniqueName="[Info].[دپارتمان].[All]" dimensionUniqueName="[Info]" displayFolder="" count="0" memberValueDatatype="130" unbalanced="0"/>
    <cacheHierarchy uniqueName="[Info].[نام]" caption="نام" attribute="1" defaultMemberUniqueName="[Info].[نام].[All]" allUniqueName="[Info].[نام].[All]" dimensionUniqueName="[Info]" displayFolder="" count="0" memberValueDatatype="130" unbalanced="0"/>
    <cacheHierarchy uniqueName="[Info].[جنسیت]" caption="جنسیت" attribute="1" defaultMemberUniqueName="[Info].[جنسیت].[All]" allUniqueName="[Info].[جنسیت].[All]" dimensionUniqueName="[Info]" displayFolder="" count="0" memberValueDatatype="130" unbalanced="0"/>
    <cacheHierarchy uniqueName="[Info].[نوع قرارداد]" caption="نوع قرارداد" attribute="1" defaultMemberUniqueName="[Info].[نوع قرارداد].[All]" allUniqueName="[Info].[نوع قرارداد].[All]" dimensionUniqueName="[Info]" displayFolder="" count="0" memberValueDatatype="130" unbalanced="0"/>
    <cacheHierarchy uniqueName="[Info].[تاریخ تولد]" caption="تاریخ تولد" attribute="1" time="1" defaultMemberUniqueName="[Info].[تاریخ تولد].[All]" allUniqueName="[Info].[تاریخ تولد].[All]" dimensionUniqueName="[Info]" displayFolder="" count="0" memberValueDatatype="7" unbalanced="0"/>
    <cacheHierarchy uniqueName="[Info].[سن]" caption="سن" attribute="1" defaultMemberUniqueName="[Info].[سن].[All]" allUniqueName="[Info].[سن].[All]" dimensionUniqueName="[Info]" displayFolder="" count="0" memberValueDatatype="20" unbalanced="0"/>
    <cacheHierarchy uniqueName="[Info].[ماه تولد]" caption="ماه تولد" attribute="1" defaultMemberUniqueName="[Info].[ماه تولد].[All]" allUniqueName="[Info].[ماه تولد].[All]" dimensionUniqueName="[Info]" displayFolder="" count="0" memberValueDatatype="20" unbalanced="0"/>
    <cacheHierarchy uniqueName="[Salary].[کد پرسنلی]" caption="کد پرسنلی" attribute="1" defaultMemberUniqueName="[Salary].[کد پرسنلی].[All]" allUniqueName="[Salary].[کد پرسنلی].[All]" dimensionUniqueName="[Salary]" displayFolder="" count="0" memberValueDatatype="20" unbalanced="0"/>
    <cacheHierarchy uniqueName="[Salary].[شاخص ارزیابی]" caption="شاخص ارزیابی" attribute="1" defaultMemberUniqueName="[Salary].[شاخص ارزیابی].[All]" allUniqueName="[Salary].[شاخص ارزیابی].[All]" dimensionUniqueName="[Salary]" displayFolder="" count="0" memberValueDatatype="20" unbalanced="0"/>
    <cacheHierarchy uniqueName="[Salary].[index1]" caption="index1" attribute="1" defaultMemberUniqueName="[Salary].[index1].[All]" allUniqueName="[Salary].[index1].[All]" dimensionUniqueName="[Salary]" displayFolder="" count="0" memberValueDatatype="20" unbalanced="0"/>
    <cacheHierarchy uniqueName="[Salary].[ماه]" caption="ماه" attribute="1" defaultMemberUniqueName="[Salary].[ماه].[All]" allUniqueName="[Salary].[ماه].[All]" dimensionUniqueName="[Salary]" displayFolder="" count="2" memberValueDatatype="130" unbalanced="0"/>
    <cacheHierarchy uniqueName="[Salary].[پایه حقوق]" caption="پایه حقوق" attribute="1" defaultMemberUniqueName="[Salary].[پایه حقوق].[All]" allUniqueName="[Salary].[پایه حقوق].[All]" dimensionUniqueName="[Salary]" displayFolder="" count="0" memberValueDatatype="20" unbalanced="0"/>
    <cacheHierarchy uniqueName="[Salary].[پاداش]" caption="پاداش" attribute="1" defaultMemberUniqueName="[Salary].[پاداش].[All]" allUniqueName="[Salary].[پاداش].[All]" dimensionUniqueName="[Salary]" displayFolder="" count="0" memberValueDatatype="5" unbalanced="0"/>
    <cacheHierarchy uniqueName="[Salary].[ناخالص]" caption="ناخالص" attribute="1" defaultMemberUniqueName="[Salary].[ناخالص].[All]" allUniqueName="[Salary].[ناخالص].[All]" dimensionUniqueName="[Salary]" displayFolder="" count="0" memberValueDatatype="20" unbalanced="0"/>
    <cacheHierarchy uniqueName="[Salary].[بیمه کارفرما]" caption="بیمه کارفرما" attribute="1" defaultMemberUniqueName="[Salary].[بیمه کارفرما].[All]" allUniqueName="[Salary].[بیمه کارفرما].[All]" dimensionUniqueName="[Salary]" displayFolder="" count="0" memberValueDatatype="20" unbalanced="0"/>
    <cacheHierarchy uniqueName="[Salary].[بیمه]" caption="بیمه" attribute="1" defaultMemberUniqueName="[Salary].[بیمه].[All]" allUniqueName="[Salary].[بیمه].[All]" dimensionUniqueName="[Salary]" displayFolder="" count="0" memberValueDatatype="5" unbalanced="0"/>
    <cacheHierarchy uniqueName="[Salary].[مالیات]" caption="مالیات" attribute="1" defaultMemberUniqueName="[Salary].[مالیات].[All]" allUniqueName="[Salary].[مالیات].[All]" dimensionUniqueName="[Salary]" displayFolder="" count="0" memberValueDatatype="20" unbalanced="0"/>
    <cacheHierarchy uniqueName="[Salary].[خالص دریافتی]" caption="خالص دریافتی" attribute="1" defaultMemberUniqueName="[Salary].[خالص دریافتی].[All]" allUniqueName="[Salary].[خالص دریافتی].[All]" dimensionUniqueName="[Salary]" displayFolder="" count="0" memberValueDatatype="20" unbalanced="0"/>
    <cacheHierarchy uniqueName="[Salary].[Index]" caption="Index" attribute="1" defaultMemberUniqueName="[Salary].[Index].[All]" allUniqueName="[Salary].[Index].[All]" dimensionUniqueName="[Salary]" displayFolder="" count="0" memberValueDatatype="130" unbalanced="0"/>
    <cacheHierarchy uniqueName="[Measures].[__XL_Count Info]" caption="__XL_Count Info" measure="1" displayFolder="" measureGroup="Info" count="0" hidden="1"/>
    <cacheHierarchy uniqueName="[Measures].[__XL_Count Salary]" caption="__XL_Count Salary" measure="1" displayFolder="" measureGroup="Salary" count="0" hidden="1"/>
    <cacheHierarchy uniqueName="[Measures].[__No measures defined]" caption="__No measures defined" measure="1" displayFolder="" count="0" hidden="1"/>
    <cacheHierarchy uniqueName="[Measures].[Count of جنسیت]" caption="Count of جنسیت" measure="1" displayFolder="" measureGroup="Info"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9495033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12FB05-E417-4856-93BD-CF4521390D1F}" name="PivotTable3" cacheId="27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H22"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Fields count="1">
    <field x="1"/>
  </colFields>
  <colItems count="3">
    <i>
      <x/>
    </i>
    <i>
      <x v="1"/>
    </i>
    <i t="grand">
      <x/>
    </i>
  </colItems>
  <dataFields count="1">
    <dataField name="Count of جنسیت" fld="2"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F2BC7B-6711-4636-97ED-3945A8BBC79E}" name="PivotTable2" cacheId="2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H10"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6">
    <i>
      <x/>
    </i>
    <i>
      <x v="1"/>
    </i>
    <i>
      <x v="2"/>
    </i>
    <i>
      <x v="3"/>
    </i>
    <i>
      <x v="4"/>
    </i>
    <i t="grand">
      <x/>
    </i>
  </rowItems>
  <colFields count="1">
    <field x="1"/>
  </colFields>
  <colItems count="3">
    <i>
      <x/>
    </i>
    <i>
      <x v="1"/>
    </i>
    <i t="grand">
      <x/>
    </i>
  </colItems>
  <dataFields count="1">
    <dataField name="Count of جنسیت" fld="2" subtotal="count" baseField="0" baseItem="0"/>
  </dataFields>
  <chartFormats count="2">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CD3765-D644-45AC-AFBE-D0EBB13DA7D2}" name="PivotTable1" cacheId="469" applyNumberFormats="0" applyBorderFormats="0" applyFontFormats="0" applyPatternFormats="0" applyAlignmentFormats="0" applyWidthHeightFormats="1" dataCaption="Values" tag="7becea4a-e68a-48c3-87fc-29bda0741e99" updatedVersion="8" minRefreshableVersion="3" useAutoFormatting="1" subtotalHiddenItems="1" itemPrintTitles="1" createdVersion="8" indent="0" outline="1" outlineData="1" multipleFieldFilters="0" chartFormat="20">
  <location ref="A3:B6" firstHeaderRow="1" firstDataRow="1" firstDataCol="1" rowPageCount="1" colPageCount="1"/>
  <pivotFields count="3">
    <pivotField axis="axisRow"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s>
  <rowFields count="1">
    <field x="0"/>
  </rowFields>
  <rowItems count="3">
    <i>
      <x/>
    </i>
    <i>
      <x v="1"/>
    </i>
    <i t="grand">
      <x/>
    </i>
  </rowItems>
  <colItems count="1">
    <i/>
  </colItems>
  <pageFields count="1">
    <pageField fld="2" hier="11" name="[Salary].[ماه].&amp;[فروردین]" cap="فروردین"/>
  </pageFields>
  <dataFields count="1">
    <dataField name="Count of جنسیت" fld="1" subtotal="count" baseField="0" baseItem="0"/>
  </dataFields>
  <formats count="4">
    <format dxfId="184">
      <pivotArea dataOnly="0" labelOnly="1" outline="0" fieldPosition="0">
        <references count="1">
          <reference field="2" count="0"/>
        </references>
      </pivotArea>
    </format>
    <format dxfId="185">
      <pivotArea dataOnly="0" labelOnly="1" outline="0" fieldPosition="0">
        <references count="1">
          <reference field="2" count="0"/>
        </references>
      </pivotArea>
    </format>
    <format dxfId="186">
      <pivotArea field="2" type="button" dataOnly="0" labelOnly="1" outline="0" axis="axisPage" fieldPosition="0"/>
    </format>
    <format dxfId="187">
      <pivotArea field="2" type="button" dataOnly="0" labelOnly="1" outline="0" axis="axisPage" fieldPosition="0"/>
    </format>
  </formats>
  <chartFormats count="6">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0" count="1" selected="0">
            <x v="0"/>
          </reference>
        </references>
      </pivotArea>
    </chartFormat>
    <chartFormat chart="16" format="6">
      <pivotArea type="data" outline="0" fieldPosition="0">
        <references count="2">
          <reference field="4294967294" count="1" selected="0">
            <x v="0"/>
          </reference>
          <reference field="0" count="1" selected="0">
            <x v="1"/>
          </reference>
        </references>
      </pivotArea>
    </chartFormat>
    <chartFormat chart="19" format="7" series="1">
      <pivotArea type="data" outline="0" fieldPosition="0">
        <references count="1">
          <reference field="4294967294" count="1" selected="0">
            <x v="0"/>
          </reference>
        </references>
      </pivotArea>
    </chartFormat>
    <chartFormat chart="19" format="8">
      <pivotArea type="data" outline="0" fieldPosition="0">
        <references count="2">
          <reference field="4294967294" count="1" selected="0">
            <x v="0"/>
          </reference>
          <reference field="0" count="1" selected="0">
            <x v="0"/>
          </reference>
        </references>
      </pivotArea>
    </chartFormat>
    <chartFormat chart="19" format="9">
      <pivotArea type="data" outline="0" fieldPosition="0">
        <references count="2">
          <reference field="4294967294" count="1" selected="0">
            <x v="0"/>
          </reference>
          <reference field="0"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ary].[ماه].&amp;[فروردین]"/>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fo]"/>
        <x15:activeTabTopLevelEntity name="[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FCFC54-4AC7-45B1-8BAA-0E45CDF167DB}" name="PivotTable1" cacheId="267" applyNumberFormats="0" applyBorderFormats="0" applyFontFormats="0" applyPatternFormats="0" applyAlignmentFormats="0" applyWidthHeightFormats="1" dataCaption="Values" tag="771a3cbe-d221-4aee-88e5-e926e18d1259" updatedVersion="8" minRefreshableVersion="3" useAutoFormatting="1" itemPrintTitles="1" createdVersion="7" indent="0" outline="1" outlineData="1" multipleFieldFilters="0">
  <location ref="A3:A9"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6">
    <i>
      <x/>
    </i>
    <i>
      <x v="1"/>
    </i>
    <i>
      <x v="2"/>
    </i>
    <i>
      <x v="3"/>
    </i>
    <i>
      <x v="4"/>
    </i>
    <i t="grand">
      <x/>
    </i>
  </rowItem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v01.xlsx!Info">
        <x15:activeTabTopLevelEntity name="[Info]"/>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161C0FB-2F78-4B41-955C-D83435F3B36A}" autoFormatId="16" applyNumberFormats="0" applyBorderFormats="0" applyFontFormats="0" applyPatternFormats="0" applyAlignmentFormats="0" applyWidthHeightFormats="0">
  <queryTableRefresh nextId="9">
    <queryTableFields count="8">
      <queryTableField id="1" name="Info[کد پرسنلی]" tableColumnId="1"/>
      <queryTableField id="2" name="Info[دپارتمان]" tableColumnId="2"/>
      <queryTableField id="3" name="Info[نام]" tableColumnId="3"/>
      <queryTableField id="4" name="Info[جنسیت]" tableColumnId="4"/>
      <queryTableField id="5" name="Info[نوع قرارداد]" tableColumnId="5"/>
      <queryTableField id="6" name="Info[تاریخ تولد]" tableColumnId="6"/>
      <queryTableField id="7" name="Info[سن]" tableColumnId="7"/>
      <queryTableField id="8" name="Info[ماه تولد]" tableColumnId="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اه" xr10:uid="{03493212-9ED2-4692-94AD-F618D3D7BF00}" sourceName="[Salary].[ماه]">
  <pivotTables>
    <pivotTable tabId="4" name="PivotTable1"/>
  </pivotTables>
  <data>
    <olap pivotCacheId="949503361">
      <levels count="2">
        <level uniqueName="[Salary].[ماه].[(All)]" sourceCaption="(All)" count="0"/>
        <level uniqueName="[Salary].[ماه].[ماه]" sourceCaption="ماه" count="12">
          <ranges>
            <range startItem="0">
              <i n="[Salary].[ماه].&amp;[فروردین]" c="فروردین"/>
              <i n="[Salary].[ماه].&amp;[اردیبهشت]" c="اردیبهشت"/>
              <i n="[Salary].[ماه].&amp;[خرداد]" c="خرداد"/>
              <i n="[Salary].[ماه].&amp;[تیر]" c="تیر"/>
              <i n="[Salary].[ماه].&amp;[مرداد]" c="مرداد"/>
              <i n="[Salary].[ماه].&amp;[شهریور]" c="شهریور"/>
              <i n="[Salary].[ماه].&amp;[مهر]" c="مهر"/>
              <i n="[Salary].[ماه].&amp;[آبان]" c="آبان"/>
              <i n="[Salary].[ماه].&amp;[آذر]" c="آذر"/>
              <i n="[Salary].[ماه].&amp;[دی]" c="دی"/>
              <i n="[Salary].[ماه].&amp;[بهمن]" c="بهمن"/>
              <i n="[Salary].[ماه].&amp;[اسفند]" c="اسفند"/>
            </range>
          </ranges>
        </level>
      </levels>
      <selections count="1">
        <selection n="[Salary].[ماه].&amp;[فروردین]"/>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ماه 1" xr10:uid="{1F2A7BD8-436A-4535-B29A-5A1B484C2F45}" cache="Slicer_ماه" caption="ماه"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ماه" xr10:uid="{446204A4-6CFE-409E-AE81-62616D1B6651}" cache="Slicer_ماه" caption="ماه" columnCount="12" showCaption="0"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3FFFD9-F362-4F8E-AB7C-17075FB68811}" name="Table_ExternalData_1" displayName="Table_ExternalData_1" ref="A3:H22" tableType="queryTable" totalsRowShown="0">
  <autoFilter ref="A3:H22" xr:uid="{BA3FFFD9-F362-4F8E-AB7C-17075FB68811}"/>
  <tableColumns count="8">
    <tableColumn id="1" xr3:uid="{6B954DF3-34A7-40FC-9E40-D4292ADF1D08}" uniqueName="1" name="Info[کد پرسنلی]" queryTableFieldId="1"/>
    <tableColumn id="2" xr3:uid="{B8B27B22-18D4-4443-9226-D8980A0D54AD}" uniqueName="2" name="Info[دپارتمان]" queryTableFieldId="2"/>
    <tableColumn id="3" xr3:uid="{E4947F8A-0167-4904-8DF3-62A6B8EBCC26}" uniqueName="3" name="Info[نام]" queryTableFieldId="3"/>
    <tableColumn id="4" xr3:uid="{9640D5C0-52EB-40DF-A77D-62923F2024D4}" uniqueName="4" name="Info[جنسیت]" queryTableFieldId="4"/>
    <tableColumn id="5" xr3:uid="{EDA86EB9-8016-413E-84A5-E7A98F6BD480}" uniqueName="5" name="Info[نوع قرارداد]" queryTableFieldId="5"/>
    <tableColumn id="6" xr3:uid="{5F9655F5-CACB-43FB-A1C9-A0AFBF1D9301}" uniqueName="6" name="Info[تاریخ تولد]" queryTableFieldId="6" dataDxfId="218"/>
    <tableColumn id="7" xr3:uid="{ADF729A0-0AFA-47E4-A162-B68A5B856269}" uniqueName="7" name="Info[سن]" queryTableFieldId="7"/>
    <tableColumn id="8" xr3:uid="{588B29BE-F892-4793-BDF3-8CAF0D0771BC}" uniqueName="8" name="Info[ماه تولد]" queryTableField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0D78FC-4DA3-4FC8-9685-2D52129F1898}" name="Info" displayName="Info" ref="A1:H61" totalsRowShown="0" headerRowDxfId="217" dataDxfId="216">
  <autoFilter ref="A1:H61" xr:uid="{300D78FC-4DA3-4FC8-9685-2D52129F1898}"/>
  <tableColumns count="8">
    <tableColumn id="1" xr3:uid="{E90EB93A-6D23-462A-900B-08B457AFD526}" name="کد پرسنلی" dataDxfId="215"/>
    <tableColumn id="2" xr3:uid="{B3265886-CC10-4138-856D-079641A15318}" name="دپارتمان" dataDxfId="214"/>
    <tableColumn id="3" xr3:uid="{02057363-ABF3-465B-8E39-FBF22D16F121}" name="نام" dataDxfId="213"/>
    <tableColumn id="4" xr3:uid="{989030C3-A441-4541-B787-84CFFACA2E51}" name="جنسیت" dataDxfId="212"/>
    <tableColumn id="5" xr3:uid="{39D8A509-BD99-4A4E-826E-F29E7EE1E4E1}" name="نوع قرارداد" dataDxfId="211"/>
    <tableColumn id="6" xr3:uid="{96E2B991-9F5C-41C8-8771-A804F1347430}" name="تاریخ تولد" dataDxfId="210"/>
    <tableColumn id="7" xr3:uid="{8466B45E-13F3-4C07-AF4F-F8529479ED5B}" name="سن" dataDxfId="209">
      <calculatedColumnFormula>QUOTIENT(TODAY()-Info[[#This Row],[تاریخ تولد]],365)</calculatedColumnFormula>
    </tableColumn>
    <tableColumn id="8" xr3:uid="{3212C5A9-4E0A-4523-9B54-FDB0F6076FCA}" name="ماه تولد" dataDxfId="208">
      <calculatedColumnFormula>--TEXT(Info[[#This Row],[تاریخ تولد]],"[$-fa-IR,96]mm")</calculatedColumnFormula>
    </tableColumn>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EA116F-AE1B-450B-84BD-4C3D74BE53DB}" name="Salary" displayName="Salary" ref="A1:K721" totalsRowShown="0" headerRowDxfId="207" dataDxfId="205" headerRowBorderDxfId="206" tableBorderDxfId="204" totalsRowBorderDxfId="203">
  <autoFilter ref="A1:K721" xr:uid="{FFEA116F-AE1B-450B-84BD-4C3D74BE53DB}"/>
  <sortState xmlns:xlrd2="http://schemas.microsoft.com/office/spreadsheetml/2017/richdata2" ref="A2:K721">
    <sortCondition ref="D2:D721" customList="فروردین,اردیبهشت,خرداد,تیر,مرداد,شهریور,مهر,آبان,آذر,دی,بهمن,اسفند"/>
  </sortState>
  <tableColumns count="11">
    <tableColumn id="1" xr3:uid="{218FD79D-D7C2-4E77-A496-7418EACD7AA4}" name="کد پرسنلی" dataDxfId="202"/>
    <tableColumn id="2" xr3:uid="{7E2E4718-04B7-432F-9528-3E4B33E706DA}" name="شاخص ارزیابی" dataDxfId="201">
      <calculatedColumnFormula>RANDBETWEEN(30,100)</calculatedColumnFormula>
    </tableColumn>
    <tableColumn id="16" xr3:uid="{724B831D-39E9-45C0-A775-BA7DA9374DD7}" name="index" dataDxfId="192">
      <calculatedColumnFormula>MATCH(Salary[[#This Row],[ماه]],Calc!$A$16:$A$27,0)</calculatedColumnFormula>
    </tableColumn>
    <tableColumn id="3" xr3:uid="{85B0AD6B-7894-4C61-9041-373F13087697}" name="ماه" dataDxfId="200"/>
    <tableColumn id="4" xr3:uid="{43F83E59-7DA0-4671-84D3-1420BC6F0982}" name="پایه حقوق" dataDxfId="199">
      <calculatedColumnFormula>RANDBETWEEN(3000,15000)*1000</calculatedColumnFormula>
    </tableColumn>
    <tableColumn id="5" xr3:uid="{23AB0E3C-F17C-4994-BD1F-F814D6C232C0}" name="پاداش" dataDxfId="198"/>
    <tableColumn id="6" xr3:uid="{99CC4CD3-646C-4907-9BDD-648F67DBD54C}" name="ناخالص" dataDxfId="197">
      <calculatedColumnFormula>E2+F2</calculatedColumnFormula>
    </tableColumn>
    <tableColumn id="7" xr3:uid="{605A4454-2C2C-4C47-B23E-D7CC57AFBDC4}" name="بیمه کارفرما" dataDxfId="196">
      <calculatedColumnFormula>0.23*E2</calculatedColumnFormula>
    </tableColumn>
    <tableColumn id="8" xr3:uid="{2E731276-D926-4442-9934-55A4070BA350}" name="بیمه" dataDxfId="195">
      <calculatedColumnFormula>0.07*E2</calculatedColumnFormula>
    </tableColumn>
    <tableColumn id="9" xr3:uid="{AF069985-A36C-4C0E-878C-9CD7228AE55D}" name="مالیات" dataDxfId="194">
      <calculatedColumnFormula>IF(Salary[[#This Row],[پایه حقوق]]&lt;=5600000,0,(Salary[[#This Row],[پایه حقوق]]-5600000)*0.1)</calculatedColumnFormula>
    </tableColumn>
    <tableColumn id="10" xr3:uid="{E8637BAB-0B3D-4882-9CDD-F0AC811868B0}" name="خالص دریافتی" dataDxfId="193">
      <calculatedColumnFormula>G2-I2-J2</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CCA4F-DF75-4CA3-8FB9-B4BA7ACA0F52}">
  <dimension ref="A1:H22"/>
  <sheetViews>
    <sheetView workbookViewId="0"/>
  </sheetViews>
  <sheetFormatPr defaultRowHeight="14.4"/>
  <cols>
    <col min="1" max="1" width="15.33203125" bestFit="1" customWidth="1"/>
    <col min="2" max="2" width="13.5546875" bestFit="1" customWidth="1"/>
    <col min="3" max="3" width="11.44140625" bestFit="1" customWidth="1"/>
    <col min="4" max="4" width="13.5546875" bestFit="1" customWidth="1"/>
    <col min="5" max="5" width="15.44140625" bestFit="1" customWidth="1"/>
    <col min="6" max="6" width="15.33203125" bestFit="1" customWidth="1"/>
    <col min="7" max="7" width="10.5546875" bestFit="1" customWidth="1"/>
    <col min="8" max="8" width="13.21875" bestFit="1" customWidth="1"/>
  </cols>
  <sheetData>
    <row r="1" spans="1:8">
      <c r="A1" s="30" t="s">
        <v>111</v>
      </c>
    </row>
    <row r="3" spans="1:8">
      <c r="A3" t="s">
        <v>103</v>
      </c>
      <c r="B3" t="s">
        <v>104</v>
      </c>
      <c r="C3" t="s">
        <v>105</v>
      </c>
      <c r="D3" t="s">
        <v>106</v>
      </c>
      <c r="E3" t="s">
        <v>107</v>
      </c>
      <c r="F3" t="s">
        <v>108</v>
      </c>
      <c r="G3" t="s">
        <v>109</v>
      </c>
      <c r="H3" t="s">
        <v>110</v>
      </c>
    </row>
    <row r="4" spans="1:8">
      <c r="A4">
        <v>9987656</v>
      </c>
      <c r="B4" t="s">
        <v>0</v>
      </c>
      <c r="C4" t="s">
        <v>1</v>
      </c>
      <c r="D4" t="s">
        <v>2</v>
      </c>
      <c r="E4" t="s">
        <v>3</v>
      </c>
      <c r="F4" s="29">
        <v>33893</v>
      </c>
      <c r="G4">
        <v>29</v>
      </c>
      <c r="H4">
        <v>7</v>
      </c>
    </row>
    <row r="5" spans="1:8">
      <c r="A5">
        <v>9987728</v>
      </c>
      <c r="B5" t="s">
        <v>4</v>
      </c>
      <c r="C5" t="s">
        <v>5</v>
      </c>
      <c r="D5" t="s">
        <v>2</v>
      </c>
      <c r="E5" t="s">
        <v>6</v>
      </c>
      <c r="F5" s="29">
        <v>33626</v>
      </c>
      <c r="G5">
        <v>30</v>
      </c>
      <c r="H5">
        <v>11</v>
      </c>
    </row>
    <row r="6" spans="1:8">
      <c r="A6">
        <v>9987938</v>
      </c>
      <c r="B6" t="s">
        <v>12</v>
      </c>
      <c r="C6" t="s">
        <v>13</v>
      </c>
      <c r="D6" t="s">
        <v>2</v>
      </c>
      <c r="E6" t="s">
        <v>3</v>
      </c>
      <c r="F6" s="29">
        <v>32825</v>
      </c>
      <c r="G6">
        <v>32</v>
      </c>
      <c r="H6">
        <v>8</v>
      </c>
    </row>
    <row r="7" spans="1:8">
      <c r="A7">
        <v>9988137</v>
      </c>
      <c r="B7" t="s">
        <v>7</v>
      </c>
      <c r="C7" t="s">
        <v>16</v>
      </c>
      <c r="D7" t="s">
        <v>2</v>
      </c>
      <c r="E7" t="s">
        <v>6</v>
      </c>
      <c r="F7" s="29">
        <v>32024</v>
      </c>
      <c r="G7">
        <v>34</v>
      </c>
      <c r="H7">
        <v>6</v>
      </c>
    </row>
    <row r="8" spans="1:8">
      <c r="A8">
        <v>9988371</v>
      </c>
      <c r="B8" t="s">
        <v>7</v>
      </c>
      <c r="C8" t="s">
        <v>20</v>
      </c>
      <c r="D8" t="s">
        <v>2</v>
      </c>
      <c r="E8" t="s">
        <v>3</v>
      </c>
      <c r="F8" s="29">
        <v>30956</v>
      </c>
      <c r="G8">
        <v>37</v>
      </c>
      <c r="H8">
        <v>7</v>
      </c>
    </row>
    <row r="9" spans="1:8">
      <c r="A9">
        <v>9988453</v>
      </c>
      <c r="B9" t="s">
        <v>7</v>
      </c>
      <c r="C9" t="s">
        <v>22</v>
      </c>
      <c r="D9" t="s">
        <v>2</v>
      </c>
      <c r="E9" t="s">
        <v>3</v>
      </c>
      <c r="F9" s="29">
        <v>30422</v>
      </c>
      <c r="G9">
        <v>38</v>
      </c>
      <c r="H9">
        <v>1</v>
      </c>
    </row>
    <row r="10" spans="1:8">
      <c r="A10">
        <v>9988492</v>
      </c>
      <c r="B10" t="s">
        <v>10</v>
      </c>
      <c r="C10" t="s">
        <v>23</v>
      </c>
      <c r="D10" t="s">
        <v>2</v>
      </c>
      <c r="E10" t="s">
        <v>3</v>
      </c>
      <c r="F10" s="29">
        <v>30155</v>
      </c>
      <c r="G10">
        <v>39</v>
      </c>
      <c r="H10">
        <v>5</v>
      </c>
    </row>
    <row r="11" spans="1:8">
      <c r="A11">
        <v>9988657</v>
      </c>
      <c r="B11" t="s">
        <v>4</v>
      </c>
      <c r="C11" t="s">
        <v>26</v>
      </c>
      <c r="D11" t="s">
        <v>2</v>
      </c>
      <c r="E11" t="s">
        <v>6</v>
      </c>
      <c r="F11" s="29">
        <v>29354</v>
      </c>
      <c r="G11">
        <v>41</v>
      </c>
      <c r="H11">
        <v>2</v>
      </c>
    </row>
    <row r="12" spans="1:8">
      <c r="A12">
        <v>9988725</v>
      </c>
      <c r="B12" t="s">
        <v>4</v>
      </c>
      <c r="C12" t="s">
        <v>28</v>
      </c>
      <c r="D12" t="s">
        <v>2</v>
      </c>
      <c r="E12" t="s">
        <v>6</v>
      </c>
      <c r="F12" s="29">
        <v>28820</v>
      </c>
      <c r="G12">
        <v>43</v>
      </c>
      <c r="H12">
        <v>9</v>
      </c>
    </row>
    <row r="13" spans="1:8">
      <c r="A13">
        <v>9988917</v>
      </c>
      <c r="B13" t="s">
        <v>10</v>
      </c>
      <c r="C13" t="s">
        <v>32</v>
      </c>
      <c r="D13" t="s">
        <v>2</v>
      </c>
      <c r="E13" t="s">
        <v>3</v>
      </c>
      <c r="F13" s="29">
        <v>33092</v>
      </c>
      <c r="G13">
        <v>31</v>
      </c>
      <c r="H13">
        <v>5</v>
      </c>
    </row>
    <row r="14" spans="1:8">
      <c r="A14">
        <v>9988965</v>
      </c>
      <c r="B14" t="s">
        <v>12</v>
      </c>
      <c r="C14" t="s">
        <v>33</v>
      </c>
      <c r="D14" t="s">
        <v>2</v>
      </c>
      <c r="E14" t="s">
        <v>3</v>
      </c>
      <c r="F14" s="29">
        <v>32825</v>
      </c>
      <c r="G14">
        <v>32</v>
      </c>
      <c r="H14">
        <v>8</v>
      </c>
    </row>
    <row r="15" spans="1:8">
      <c r="A15">
        <v>9989397</v>
      </c>
      <c r="B15" t="s">
        <v>12</v>
      </c>
      <c r="C15" t="s">
        <v>42</v>
      </c>
      <c r="D15" t="s">
        <v>2</v>
      </c>
      <c r="E15" t="s">
        <v>3</v>
      </c>
      <c r="F15" s="29">
        <v>30422</v>
      </c>
      <c r="G15">
        <v>38</v>
      </c>
      <c r="H15">
        <v>1</v>
      </c>
    </row>
    <row r="16" spans="1:8">
      <c r="A16">
        <v>9989637</v>
      </c>
      <c r="B16" t="s">
        <v>12</v>
      </c>
      <c r="C16" t="s">
        <v>47</v>
      </c>
      <c r="D16" t="s">
        <v>2</v>
      </c>
      <c r="E16" t="s">
        <v>3</v>
      </c>
      <c r="F16" s="29">
        <v>29087</v>
      </c>
      <c r="G16">
        <v>42</v>
      </c>
      <c r="H16">
        <v>5</v>
      </c>
    </row>
    <row r="17" spans="1:8">
      <c r="A17">
        <v>9989973</v>
      </c>
      <c r="B17" t="s">
        <v>0</v>
      </c>
      <c r="C17" t="s">
        <v>54</v>
      </c>
      <c r="D17" t="s">
        <v>2</v>
      </c>
      <c r="E17" t="s">
        <v>3</v>
      </c>
      <c r="F17" s="29">
        <v>32558</v>
      </c>
      <c r="G17">
        <v>33</v>
      </c>
      <c r="H17">
        <v>11</v>
      </c>
    </row>
    <row r="18" spans="1:8">
      <c r="A18">
        <v>9990165</v>
      </c>
      <c r="B18" t="s">
        <v>12</v>
      </c>
      <c r="C18" t="s">
        <v>58</v>
      </c>
      <c r="D18" t="s">
        <v>2</v>
      </c>
      <c r="E18" t="s">
        <v>3</v>
      </c>
      <c r="F18" s="29">
        <v>31490</v>
      </c>
      <c r="G18">
        <v>36</v>
      </c>
      <c r="H18">
        <v>12</v>
      </c>
    </row>
    <row r="19" spans="1:8">
      <c r="A19">
        <v>9990213</v>
      </c>
      <c r="B19" t="s">
        <v>4</v>
      </c>
      <c r="C19" t="s">
        <v>59</v>
      </c>
      <c r="D19" t="s">
        <v>2</v>
      </c>
      <c r="E19" t="s">
        <v>3</v>
      </c>
      <c r="F19" s="29">
        <v>31223</v>
      </c>
      <c r="G19">
        <v>36</v>
      </c>
      <c r="H19">
        <v>4</v>
      </c>
    </row>
    <row r="20" spans="1:8">
      <c r="A20">
        <v>9990261</v>
      </c>
      <c r="B20" t="s">
        <v>7</v>
      </c>
      <c r="C20" t="s">
        <v>60</v>
      </c>
      <c r="D20" t="s">
        <v>2</v>
      </c>
      <c r="E20" t="s">
        <v>3</v>
      </c>
      <c r="F20" s="29">
        <v>30956</v>
      </c>
      <c r="G20">
        <v>37</v>
      </c>
      <c r="H20">
        <v>7</v>
      </c>
    </row>
    <row r="21" spans="1:8">
      <c r="A21">
        <v>9990501</v>
      </c>
      <c r="B21" t="s">
        <v>4</v>
      </c>
      <c r="C21" t="s">
        <v>65</v>
      </c>
      <c r="D21" t="s">
        <v>2</v>
      </c>
      <c r="E21" t="s">
        <v>6</v>
      </c>
      <c r="F21" s="29">
        <v>29621</v>
      </c>
      <c r="G21">
        <v>41</v>
      </c>
      <c r="H21">
        <v>11</v>
      </c>
    </row>
    <row r="22" spans="1:8">
      <c r="A22">
        <v>9990597</v>
      </c>
      <c r="B22" t="s">
        <v>12</v>
      </c>
      <c r="C22" t="s">
        <v>67</v>
      </c>
      <c r="D22" t="s">
        <v>2</v>
      </c>
      <c r="E22" t="s">
        <v>3</v>
      </c>
      <c r="F22" s="29">
        <v>29087</v>
      </c>
      <c r="G22">
        <v>42</v>
      </c>
      <c r="H22">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19124-C137-47D7-86DA-A2584CC401BC}">
  <dimension ref="A1:O51"/>
  <sheetViews>
    <sheetView topLeftCell="A2" workbookViewId="0">
      <selection activeCell="R12" sqref="R12"/>
    </sheetView>
  </sheetViews>
  <sheetFormatPr defaultRowHeight="14.4"/>
  <cols>
    <col min="1" max="1" width="12.5546875" bestFit="1" customWidth="1"/>
    <col min="2" max="2" width="14.44140625" bestFit="1" customWidth="1"/>
    <col min="5" max="5" width="14.44140625" bestFit="1" customWidth="1"/>
    <col min="6" max="6" width="15.5546875" bestFit="1" customWidth="1"/>
    <col min="7" max="7" width="3.33203125" bestFit="1" customWidth="1"/>
    <col min="8" max="8" width="10.77734375" bestFit="1" customWidth="1"/>
    <col min="11" max="11" width="13.77734375" customWidth="1"/>
    <col min="12" max="12" width="14" customWidth="1"/>
  </cols>
  <sheetData>
    <row r="1" spans="1:15">
      <c r="A1" s="35" t="s">
        <v>78</v>
      </c>
      <c r="B1" s="1" t="s" vm="1">
        <v>86</v>
      </c>
    </row>
    <row r="3" spans="1:15">
      <c r="A3" s="20" t="s">
        <v>98</v>
      </c>
      <c r="B3" t="s">
        <v>102</v>
      </c>
      <c r="E3" s="20" t="s">
        <v>102</v>
      </c>
      <c r="F3" s="20" t="s">
        <v>112</v>
      </c>
    </row>
    <row r="4" spans="1:15">
      <c r="A4" s="21" t="s">
        <v>2</v>
      </c>
      <c r="B4" s="31">
        <v>19</v>
      </c>
      <c r="E4" s="20" t="s">
        <v>98</v>
      </c>
      <c r="F4" t="s">
        <v>2</v>
      </c>
      <c r="G4" t="s">
        <v>9</v>
      </c>
      <c r="H4" t="s">
        <v>99</v>
      </c>
    </row>
    <row r="5" spans="1:15">
      <c r="A5" s="21" t="s">
        <v>9</v>
      </c>
      <c r="B5" s="31">
        <v>41</v>
      </c>
      <c r="E5" s="21" t="s">
        <v>10</v>
      </c>
      <c r="F5" s="31">
        <v>2</v>
      </c>
      <c r="G5" s="31">
        <v>6</v>
      </c>
      <c r="H5" s="31">
        <v>8</v>
      </c>
    </row>
    <row r="6" spans="1:15">
      <c r="A6" s="21" t="s">
        <v>99</v>
      </c>
      <c r="B6" s="31">
        <v>60</v>
      </c>
      <c r="E6" s="21" t="s">
        <v>0</v>
      </c>
      <c r="F6" s="31">
        <v>2</v>
      </c>
      <c r="G6" s="31">
        <v>6</v>
      </c>
      <c r="H6" s="31">
        <v>8</v>
      </c>
    </row>
    <row r="7" spans="1:15">
      <c r="E7" s="21" t="s">
        <v>4</v>
      </c>
      <c r="F7" s="31">
        <v>5</v>
      </c>
      <c r="G7" s="31">
        <v>11</v>
      </c>
      <c r="H7" s="31">
        <v>16</v>
      </c>
    </row>
    <row r="8" spans="1:15">
      <c r="E8" s="21" t="s">
        <v>7</v>
      </c>
      <c r="F8" s="31">
        <v>4</v>
      </c>
      <c r="G8" s="31">
        <v>9</v>
      </c>
      <c r="H8" s="31">
        <v>13</v>
      </c>
    </row>
    <row r="9" spans="1:15">
      <c r="E9" s="21" t="s">
        <v>12</v>
      </c>
      <c r="F9" s="31">
        <v>6</v>
      </c>
      <c r="G9" s="31">
        <v>9</v>
      </c>
      <c r="H9" s="31">
        <v>15</v>
      </c>
    </row>
    <row r="10" spans="1:15">
      <c r="A10">
        <f>AVERAGE(B4:B5)</f>
        <v>30</v>
      </c>
      <c r="E10" s="21" t="s">
        <v>99</v>
      </c>
      <c r="F10" s="31">
        <v>19</v>
      </c>
      <c r="G10" s="31">
        <v>41</v>
      </c>
      <c r="H10" s="31">
        <v>60</v>
      </c>
      <c r="O10">
        <v>1</v>
      </c>
    </row>
    <row r="11" spans="1:15">
      <c r="O11">
        <v>3</v>
      </c>
    </row>
    <row r="12" spans="1:15">
      <c r="A12">
        <f>B6</f>
        <v>60</v>
      </c>
      <c r="O12">
        <v>2</v>
      </c>
    </row>
    <row r="16" spans="1:15">
      <c r="A16" t="s">
        <v>86</v>
      </c>
      <c r="B16">
        <f>MATCH(B1,A16:A27,0)</f>
        <v>1</v>
      </c>
    </row>
    <row r="17" spans="1:12">
      <c r="A17" t="s">
        <v>87</v>
      </c>
      <c r="B17">
        <f>COUNTIF(Info[ماه تولد],Calc!B16)</f>
        <v>3</v>
      </c>
    </row>
    <row r="18" spans="1:12">
      <c r="A18" t="s">
        <v>88</v>
      </c>
      <c r="E18" s="20" t="s">
        <v>102</v>
      </c>
      <c r="F18" s="20" t="s">
        <v>112</v>
      </c>
      <c r="K18" s="34" t="s">
        <v>113</v>
      </c>
      <c r="L18" s="34">
        <f>H21</f>
        <v>42</v>
      </c>
    </row>
    <row r="19" spans="1:12">
      <c r="A19" t="s">
        <v>89</v>
      </c>
      <c r="E19" s="20" t="s">
        <v>98</v>
      </c>
      <c r="F19" t="s">
        <v>2</v>
      </c>
      <c r="G19" t="s">
        <v>9</v>
      </c>
      <c r="H19" t="s">
        <v>99</v>
      </c>
      <c r="K19" t="s">
        <v>9</v>
      </c>
      <c r="L19">
        <f>G20</f>
        <v>13</v>
      </c>
    </row>
    <row r="20" spans="1:12">
      <c r="A20" t="s">
        <v>90</v>
      </c>
      <c r="E20" s="21" t="s">
        <v>6</v>
      </c>
      <c r="F20" s="31">
        <v>5</v>
      </c>
      <c r="G20" s="31">
        <v>13</v>
      </c>
      <c r="H20" s="31">
        <v>18</v>
      </c>
      <c r="K20" t="s">
        <v>2</v>
      </c>
      <c r="L20">
        <f>F20</f>
        <v>5</v>
      </c>
    </row>
    <row r="21" spans="1:12">
      <c r="A21" t="s">
        <v>91</v>
      </c>
      <c r="E21" s="21" t="s">
        <v>3</v>
      </c>
      <c r="F21" s="31">
        <v>14</v>
      </c>
      <c r="G21" s="31">
        <v>28</v>
      </c>
      <c r="H21" s="31">
        <v>42</v>
      </c>
    </row>
    <row r="22" spans="1:12">
      <c r="A22" t="s">
        <v>92</v>
      </c>
      <c r="E22" s="21" t="s">
        <v>99</v>
      </c>
      <c r="F22" s="31">
        <v>19</v>
      </c>
      <c r="G22" s="31">
        <v>41</v>
      </c>
      <c r="H22" s="31">
        <v>60</v>
      </c>
    </row>
    <row r="23" spans="1:12">
      <c r="A23" t="s">
        <v>93</v>
      </c>
    </row>
    <row r="24" spans="1:12">
      <c r="A24" t="s">
        <v>94</v>
      </c>
    </row>
    <row r="25" spans="1:12">
      <c r="A25" t="s">
        <v>95</v>
      </c>
    </row>
    <row r="26" spans="1:12">
      <c r="A26" t="s">
        <v>96</v>
      </c>
      <c r="I26" t="s">
        <v>114</v>
      </c>
    </row>
    <row r="27" spans="1:12">
      <c r="A27" t="s">
        <v>97</v>
      </c>
    </row>
    <row r="29" spans="1:12">
      <c r="E29">
        <f ca="1">ROUND(AVERAGEIFS(Salary[شاخص ارزیابی],Salary[ماه],Calc!B1),0)</f>
        <v>66</v>
      </c>
    </row>
    <row r="30" spans="1:12">
      <c r="E30">
        <v>2</v>
      </c>
    </row>
    <row r="31" spans="1:12">
      <c r="E31">
        <f ca="1">100-E29-E30</f>
        <v>32</v>
      </c>
    </row>
    <row r="32" spans="1:12">
      <c r="E32">
        <v>100</v>
      </c>
    </row>
    <row r="33" spans="5:11">
      <c r="K33" t="str">
        <f>" تعداد افراد ماه "  &amp; B1</f>
        <v xml:space="preserve"> تعداد افراد ماه فروردین</v>
      </c>
    </row>
    <row r="34" spans="5:11">
      <c r="E34" t="str">
        <f xml:space="preserve"> "میانگین شاخص ارزیابی کارکنان در ماه " &amp;B1</f>
        <v>میانگین شاخص ارزیابی کارکنان در ماه فروردین</v>
      </c>
    </row>
    <row r="51" spans="11:12" ht="58.2">
      <c r="K51" s="33"/>
      <c r="L51" s="32"/>
    </row>
  </sheetData>
  <phoneticPr fontId="10" type="noConversion"/>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E7714-2EAF-4C1D-AA53-3E0D0AE3CBD2}">
  <dimension ref="A1:Q61"/>
  <sheetViews>
    <sheetView rightToLeft="1" workbookViewId="0">
      <selection activeCell="Q9" sqref="Q9"/>
    </sheetView>
  </sheetViews>
  <sheetFormatPr defaultRowHeight="14.4"/>
  <cols>
    <col min="2" max="2" width="12.21875" bestFit="1" customWidth="1"/>
    <col min="3" max="3" width="13.77734375" bestFit="1" customWidth="1"/>
    <col min="6" max="6" width="12.33203125" bestFit="1" customWidth="1"/>
    <col min="7" max="7" width="10.44140625" bestFit="1" customWidth="1"/>
  </cols>
  <sheetData>
    <row r="1" spans="1:17">
      <c r="A1" s="1" t="s">
        <v>69</v>
      </c>
      <c r="B1" s="1" t="s">
        <v>70</v>
      </c>
      <c r="C1" s="1" t="s">
        <v>71</v>
      </c>
      <c r="D1" s="1" t="s">
        <v>72</v>
      </c>
      <c r="E1" s="1" t="s">
        <v>73</v>
      </c>
      <c r="F1" s="1" t="s">
        <v>74</v>
      </c>
      <c r="G1" s="1" t="s">
        <v>75</v>
      </c>
      <c r="H1" s="1" t="s">
        <v>76</v>
      </c>
    </row>
    <row r="2" spans="1:17">
      <c r="A2" s="1">
        <v>9987656</v>
      </c>
      <c r="B2" s="1" t="s">
        <v>0</v>
      </c>
      <c r="C2" s="1" t="s">
        <v>1</v>
      </c>
      <c r="D2" s="1" t="s">
        <v>2</v>
      </c>
      <c r="E2" s="1" t="s">
        <v>3</v>
      </c>
      <c r="F2" s="2">
        <v>33893</v>
      </c>
      <c r="G2" s="1">
        <f ca="1">QUOTIENT(TODAY()-Info[[#This Row],[تاریخ تولد]],365)</f>
        <v>33</v>
      </c>
      <c r="H2" s="1">
        <f>--TEXT(Info[[#This Row],[تاریخ تولد]],"[$-fa-IR,96]mm")</f>
        <v>7</v>
      </c>
    </row>
    <row r="3" spans="1:17">
      <c r="A3" s="1">
        <v>9987728</v>
      </c>
      <c r="B3" s="1" t="s">
        <v>4</v>
      </c>
      <c r="C3" s="1" t="s">
        <v>5</v>
      </c>
      <c r="D3" s="1" t="s">
        <v>2</v>
      </c>
      <c r="E3" s="1" t="s">
        <v>6</v>
      </c>
      <c r="F3" s="2">
        <v>33626</v>
      </c>
      <c r="G3" s="1">
        <f ca="1">QUOTIENT(TODAY()-Info[[#This Row],[تاریخ تولد]],365)</f>
        <v>33</v>
      </c>
      <c r="H3" s="1">
        <f>--TEXT(Info[[#This Row],[تاریخ تولد]],"[$-fa-IR,96]mm")</f>
        <v>11</v>
      </c>
    </row>
    <row r="4" spans="1:17">
      <c r="A4" s="1">
        <v>9987826</v>
      </c>
      <c r="B4" s="1" t="s">
        <v>7</v>
      </c>
      <c r="C4" s="1" t="s">
        <v>8</v>
      </c>
      <c r="D4" s="1" t="s">
        <v>9</v>
      </c>
      <c r="E4" s="1" t="s">
        <v>3</v>
      </c>
      <c r="F4" s="2">
        <v>33359</v>
      </c>
      <c r="G4" s="1">
        <f ca="1">QUOTIENT(TODAY()-Info[[#This Row],[تاریخ تولد]],365)</f>
        <v>34</v>
      </c>
      <c r="H4" s="1">
        <f>--TEXT(Info[[#This Row],[تاریخ تولد]],"[$-fa-IR,96]mm")</f>
        <v>2</v>
      </c>
    </row>
    <row r="5" spans="1:17">
      <c r="A5" s="1">
        <v>9987915</v>
      </c>
      <c r="B5" s="1" t="s">
        <v>10</v>
      </c>
      <c r="C5" s="1" t="s">
        <v>11</v>
      </c>
      <c r="D5" s="1" t="s">
        <v>9</v>
      </c>
      <c r="E5" s="1" t="s">
        <v>3</v>
      </c>
      <c r="F5" s="2">
        <v>33092</v>
      </c>
      <c r="G5" s="1">
        <f ca="1">QUOTIENT(TODAY()-Info[[#This Row],[تاریخ تولد]],365)</f>
        <v>35</v>
      </c>
      <c r="H5" s="1">
        <f>--TEXT(Info[[#This Row],[تاریخ تولد]],"[$-fa-IR,96]mm")</f>
        <v>5</v>
      </c>
    </row>
    <row r="6" spans="1:17">
      <c r="A6" s="1">
        <v>9987938</v>
      </c>
      <c r="B6" s="1" t="s">
        <v>12</v>
      </c>
      <c r="C6" s="1" t="s">
        <v>13</v>
      </c>
      <c r="D6" s="1" t="s">
        <v>2</v>
      </c>
      <c r="E6" s="1" t="s">
        <v>3</v>
      </c>
      <c r="F6" s="2">
        <v>32825</v>
      </c>
      <c r="G6" s="1">
        <f ca="1">QUOTIENT(TODAY()-Info[[#This Row],[تاریخ تولد]],365)</f>
        <v>36</v>
      </c>
      <c r="H6" s="1">
        <f>--TEXT(Info[[#This Row],[تاریخ تولد]],"[$-fa-IR,96]mm")</f>
        <v>8</v>
      </c>
    </row>
    <row r="7" spans="1:17">
      <c r="A7" s="1">
        <v>9988023</v>
      </c>
      <c r="B7" s="1" t="s">
        <v>0</v>
      </c>
      <c r="C7" s="1" t="s">
        <v>14</v>
      </c>
      <c r="D7" s="1" t="s">
        <v>9</v>
      </c>
      <c r="E7" s="1" t="s">
        <v>3</v>
      </c>
      <c r="F7" s="2">
        <v>32558</v>
      </c>
      <c r="G7" s="1">
        <f ca="1">QUOTIENT(TODAY()-Info[[#This Row],[تاریخ تولد]],365)</f>
        <v>36</v>
      </c>
      <c r="H7" s="1">
        <f>--TEXT(Info[[#This Row],[تاریخ تولد]],"[$-fa-IR,96]mm")</f>
        <v>11</v>
      </c>
    </row>
    <row r="8" spans="1:17">
      <c r="A8" s="1">
        <v>9988106</v>
      </c>
      <c r="B8" s="1" t="s">
        <v>4</v>
      </c>
      <c r="C8" s="1" t="s">
        <v>15</v>
      </c>
      <c r="D8" s="1" t="s">
        <v>9</v>
      </c>
      <c r="E8" s="1" t="s">
        <v>3</v>
      </c>
      <c r="F8" s="2">
        <v>32291</v>
      </c>
      <c r="G8" s="1">
        <f ca="1">QUOTIENT(TODAY()-Info[[#This Row],[تاریخ تولد]],365)</f>
        <v>37</v>
      </c>
      <c r="H8" s="1">
        <f>--TEXT(Info[[#This Row],[تاریخ تولد]],"[$-fa-IR,96]mm")</f>
        <v>3</v>
      </c>
    </row>
    <row r="9" spans="1:17">
      <c r="A9" s="1">
        <v>9988137</v>
      </c>
      <c r="B9" s="1" t="s">
        <v>7</v>
      </c>
      <c r="C9" s="1" t="s">
        <v>16</v>
      </c>
      <c r="D9" s="1" t="s">
        <v>2</v>
      </c>
      <c r="E9" s="1" t="s">
        <v>6</v>
      </c>
      <c r="F9" s="2">
        <v>32024</v>
      </c>
      <c r="G9" s="1">
        <f ca="1">QUOTIENT(TODAY()-Info[[#This Row],[تاریخ تولد]],365)</f>
        <v>38</v>
      </c>
      <c r="H9" s="1">
        <f>--TEXT(Info[[#This Row],[تاریخ تولد]],"[$-fa-IR,96]mm")</f>
        <v>6</v>
      </c>
      <c r="Q9">
        <f ca="1">AVERAGE(Info[سن])</f>
        <v>39.6</v>
      </c>
    </row>
    <row r="10" spans="1:17">
      <c r="A10" s="1">
        <v>9988165</v>
      </c>
      <c r="B10" s="1" t="s">
        <v>10</v>
      </c>
      <c r="C10" s="1" t="s">
        <v>17</v>
      </c>
      <c r="D10" s="1" t="s">
        <v>9</v>
      </c>
      <c r="E10" s="1" t="s">
        <v>6</v>
      </c>
      <c r="F10" s="2">
        <v>31757</v>
      </c>
      <c r="G10" s="1">
        <f ca="1">QUOTIENT(TODAY()-Info[[#This Row],[تاریخ تولد]],365)</f>
        <v>38</v>
      </c>
      <c r="H10" s="1">
        <f>--TEXT(Info[[#This Row],[تاریخ تولد]],"[$-fa-IR,96]mm")</f>
        <v>9</v>
      </c>
    </row>
    <row r="11" spans="1:17">
      <c r="A11" s="1">
        <v>9988236</v>
      </c>
      <c r="B11" s="1" t="s">
        <v>12</v>
      </c>
      <c r="C11" s="1" t="s">
        <v>18</v>
      </c>
      <c r="D11" s="1" t="s">
        <v>9</v>
      </c>
      <c r="E11" s="1" t="s">
        <v>3</v>
      </c>
      <c r="F11" s="2">
        <v>31490</v>
      </c>
      <c r="G11" s="1">
        <f ca="1">QUOTIENT(TODAY()-Info[[#This Row],[تاریخ تولد]],365)</f>
        <v>39</v>
      </c>
      <c r="H11" s="1">
        <f>--TEXT(Info[[#This Row],[تاریخ تولد]],"[$-fa-IR,96]mm")</f>
        <v>12</v>
      </c>
    </row>
    <row r="12" spans="1:17">
      <c r="A12" s="1">
        <v>9988277</v>
      </c>
      <c r="B12" s="1" t="s">
        <v>4</v>
      </c>
      <c r="C12" s="1" t="s">
        <v>19</v>
      </c>
      <c r="D12" s="1" t="s">
        <v>9</v>
      </c>
      <c r="E12" s="1" t="s">
        <v>3</v>
      </c>
      <c r="F12" s="2">
        <v>31223</v>
      </c>
      <c r="G12" s="1">
        <f ca="1">QUOTIENT(TODAY()-Info[[#This Row],[تاریخ تولد]],365)</f>
        <v>40</v>
      </c>
      <c r="H12" s="1">
        <f>--TEXT(Info[[#This Row],[تاریخ تولد]],"[$-fa-IR,96]mm")</f>
        <v>4</v>
      </c>
    </row>
    <row r="13" spans="1:17">
      <c r="A13" s="1">
        <v>9988371</v>
      </c>
      <c r="B13" s="1" t="s">
        <v>7</v>
      </c>
      <c r="C13" s="1" t="s">
        <v>20</v>
      </c>
      <c r="D13" s="1" t="s">
        <v>2</v>
      </c>
      <c r="E13" s="1" t="s">
        <v>3</v>
      </c>
      <c r="F13" s="2">
        <v>30956</v>
      </c>
      <c r="G13" s="1">
        <f ca="1">QUOTIENT(TODAY()-Info[[#This Row],[تاریخ تولد]],365)</f>
        <v>41</v>
      </c>
      <c r="H13" s="1">
        <f>--TEXT(Info[[#This Row],[تاریخ تولد]],"[$-fa-IR,96]mm")</f>
        <v>7</v>
      </c>
    </row>
    <row r="14" spans="1:17">
      <c r="A14" s="1">
        <v>9988393</v>
      </c>
      <c r="B14" s="1" t="s">
        <v>4</v>
      </c>
      <c r="C14" s="1" t="s">
        <v>21</v>
      </c>
      <c r="D14" s="1" t="s">
        <v>9</v>
      </c>
      <c r="E14" s="1" t="s">
        <v>3</v>
      </c>
      <c r="F14" s="2">
        <v>30689</v>
      </c>
      <c r="G14" s="1">
        <f ca="1">QUOTIENT(TODAY()-Info[[#This Row],[تاریخ تولد]],365)</f>
        <v>41</v>
      </c>
      <c r="H14" s="1">
        <f>--TEXT(Info[[#This Row],[تاریخ تولد]],"[$-fa-IR,96]mm")</f>
        <v>10</v>
      </c>
    </row>
    <row r="15" spans="1:17">
      <c r="A15" s="1">
        <v>9988453</v>
      </c>
      <c r="B15" s="1" t="s">
        <v>7</v>
      </c>
      <c r="C15" s="1" t="s">
        <v>22</v>
      </c>
      <c r="D15" s="1" t="s">
        <v>2</v>
      </c>
      <c r="E15" s="1" t="s">
        <v>3</v>
      </c>
      <c r="F15" s="2">
        <v>30422</v>
      </c>
      <c r="G15" s="1">
        <f ca="1">QUOTIENT(TODAY()-Info[[#This Row],[تاریخ تولد]],365)</f>
        <v>42</v>
      </c>
      <c r="H15" s="1">
        <f>--TEXT(Info[[#This Row],[تاریخ تولد]],"[$-fa-IR,96]mm")</f>
        <v>1</v>
      </c>
    </row>
    <row r="16" spans="1:17">
      <c r="A16" s="1">
        <v>9988492</v>
      </c>
      <c r="B16" s="1" t="s">
        <v>10</v>
      </c>
      <c r="C16" s="1" t="s">
        <v>23</v>
      </c>
      <c r="D16" s="1" t="s">
        <v>2</v>
      </c>
      <c r="E16" s="1" t="s">
        <v>3</v>
      </c>
      <c r="F16" s="2">
        <v>30155</v>
      </c>
      <c r="G16" s="1">
        <f ca="1">QUOTIENT(TODAY()-Info[[#This Row],[تاریخ تولد]],365)</f>
        <v>43</v>
      </c>
      <c r="H16" s="1">
        <f>--TEXT(Info[[#This Row],[تاریخ تولد]],"[$-fa-IR,96]mm")</f>
        <v>5</v>
      </c>
    </row>
    <row r="17" spans="1:8">
      <c r="A17" s="1">
        <v>9988572</v>
      </c>
      <c r="B17" s="1" t="s">
        <v>12</v>
      </c>
      <c r="C17" s="1" t="s">
        <v>24</v>
      </c>
      <c r="D17" s="1" t="s">
        <v>9</v>
      </c>
      <c r="E17" s="1" t="s">
        <v>3</v>
      </c>
      <c r="F17" s="2">
        <v>29888</v>
      </c>
      <c r="G17" s="1">
        <f ca="1">QUOTIENT(TODAY()-Info[[#This Row],[تاریخ تولد]],365)</f>
        <v>44</v>
      </c>
      <c r="H17" s="1">
        <f>--TEXT(Info[[#This Row],[تاریخ تولد]],"[$-fa-IR,96]mm")</f>
        <v>8</v>
      </c>
    </row>
    <row r="18" spans="1:8">
      <c r="A18" s="1">
        <v>9988618</v>
      </c>
      <c r="B18" s="1" t="s">
        <v>0</v>
      </c>
      <c r="C18" s="1" t="s">
        <v>25</v>
      </c>
      <c r="D18" s="1" t="s">
        <v>9</v>
      </c>
      <c r="E18" s="1" t="s">
        <v>6</v>
      </c>
      <c r="F18" s="2">
        <v>29621</v>
      </c>
      <c r="G18" s="1">
        <f ca="1">QUOTIENT(TODAY()-Info[[#This Row],[تاریخ تولد]],365)</f>
        <v>44</v>
      </c>
      <c r="H18" s="1">
        <f>--TEXT(Info[[#This Row],[تاریخ تولد]],"[$-fa-IR,96]mm")</f>
        <v>11</v>
      </c>
    </row>
    <row r="19" spans="1:8">
      <c r="A19" s="1">
        <v>9988657</v>
      </c>
      <c r="B19" s="1" t="s">
        <v>4</v>
      </c>
      <c r="C19" s="1" t="s">
        <v>26</v>
      </c>
      <c r="D19" s="1" t="s">
        <v>2</v>
      </c>
      <c r="E19" s="1" t="s">
        <v>6</v>
      </c>
      <c r="F19" s="2">
        <v>29354</v>
      </c>
      <c r="G19" s="1">
        <f ca="1">QUOTIENT(TODAY()-Info[[#This Row],[تاریخ تولد]],365)</f>
        <v>45</v>
      </c>
      <c r="H19" s="1">
        <f>--TEXT(Info[[#This Row],[تاریخ تولد]],"[$-fa-IR,96]mm")</f>
        <v>2</v>
      </c>
    </row>
    <row r="20" spans="1:8">
      <c r="A20" s="1">
        <v>9988677</v>
      </c>
      <c r="B20" s="1" t="s">
        <v>7</v>
      </c>
      <c r="C20" s="1" t="s">
        <v>27</v>
      </c>
      <c r="D20" s="1" t="s">
        <v>9</v>
      </c>
      <c r="E20" s="1" t="s">
        <v>3</v>
      </c>
      <c r="F20" s="2">
        <v>29087</v>
      </c>
      <c r="G20" s="1">
        <f ca="1">QUOTIENT(TODAY()-Info[[#This Row],[تاریخ تولد]],365)</f>
        <v>46</v>
      </c>
      <c r="H20" s="1">
        <f>--TEXT(Info[[#This Row],[تاریخ تولد]],"[$-fa-IR,96]mm")</f>
        <v>5</v>
      </c>
    </row>
    <row r="21" spans="1:8">
      <c r="A21" s="1">
        <v>9988725</v>
      </c>
      <c r="B21" s="1" t="s">
        <v>4</v>
      </c>
      <c r="C21" s="1" t="s">
        <v>28</v>
      </c>
      <c r="D21" s="1" t="s">
        <v>2</v>
      </c>
      <c r="E21" s="1" t="s">
        <v>6</v>
      </c>
      <c r="F21" s="2">
        <v>28820</v>
      </c>
      <c r="G21" s="1">
        <f ca="1">QUOTIENT(TODAY()-Info[[#This Row],[تاریخ تولد]],365)</f>
        <v>47</v>
      </c>
      <c r="H21" s="1">
        <f>--TEXT(Info[[#This Row],[تاریخ تولد]],"[$-fa-IR,96]mm")</f>
        <v>9</v>
      </c>
    </row>
    <row r="22" spans="1:8">
      <c r="A22" s="1">
        <v>9988773</v>
      </c>
      <c r="B22" s="1" t="s">
        <v>0</v>
      </c>
      <c r="C22" s="1" t="s">
        <v>29</v>
      </c>
      <c r="D22" s="1" t="s">
        <v>9</v>
      </c>
      <c r="E22" s="1" t="s">
        <v>3</v>
      </c>
      <c r="F22" s="2">
        <v>33893</v>
      </c>
      <c r="G22" s="1">
        <f ca="1">QUOTIENT(TODAY()-Info[[#This Row],[تاریخ تولد]],365)</f>
        <v>33</v>
      </c>
      <c r="H22" s="1">
        <f>--TEXT(Info[[#This Row],[تاریخ تولد]],"[$-fa-IR,96]mm")</f>
        <v>7</v>
      </c>
    </row>
    <row r="23" spans="1:8">
      <c r="A23" s="1">
        <v>9988821</v>
      </c>
      <c r="B23" s="1" t="s">
        <v>4</v>
      </c>
      <c r="C23" s="1" t="s">
        <v>30</v>
      </c>
      <c r="D23" s="1" t="s">
        <v>9</v>
      </c>
      <c r="E23" s="1" t="s">
        <v>6</v>
      </c>
      <c r="F23" s="2">
        <v>33626</v>
      </c>
      <c r="G23" s="1">
        <f ca="1">QUOTIENT(TODAY()-Info[[#This Row],[تاریخ تولد]],365)</f>
        <v>33</v>
      </c>
      <c r="H23" s="1">
        <f>--TEXT(Info[[#This Row],[تاریخ تولد]],"[$-fa-IR,96]mm")</f>
        <v>11</v>
      </c>
    </row>
    <row r="24" spans="1:8">
      <c r="A24" s="1">
        <v>9988869</v>
      </c>
      <c r="B24" s="1" t="s">
        <v>7</v>
      </c>
      <c r="C24" s="1" t="s">
        <v>31</v>
      </c>
      <c r="D24" s="1" t="s">
        <v>9</v>
      </c>
      <c r="E24" s="1" t="s">
        <v>3</v>
      </c>
      <c r="F24" s="2">
        <v>33359</v>
      </c>
      <c r="G24" s="1">
        <f ca="1">QUOTIENT(TODAY()-Info[[#This Row],[تاریخ تولد]],365)</f>
        <v>34</v>
      </c>
      <c r="H24" s="1">
        <f>--TEXT(Info[[#This Row],[تاریخ تولد]],"[$-fa-IR,96]mm")</f>
        <v>2</v>
      </c>
    </row>
    <row r="25" spans="1:8">
      <c r="A25" s="1">
        <v>9988917</v>
      </c>
      <c r="B25" s="1" t="s">
        <v>10</v>
      </c>
      <c r="C25" s="1" t="s">
        <v>32</v>
      </c>
      <c r="D25" s="1" t="s">
        <v>2</v>
      </c>
      <c r="E25" s="1" t="s">
        <v>3</v>
      </c>
      <c r="F25" s="2">
        <v>33092</v>
      </c>
      <c r="G25" s="1">
        <f ca="1">QUOTIENT(TODAY()-Info[[#This Row],[تاریخ تولد]],365)</f>
        <v>35</v>
      </c>
      <c r="H25" s="1">
        <f>--TEXT(Info[[#This Row],[تاریخ تولد]],"[$-fa-IR,96]mm")</f>
        <v>5</v>
      </c>
    </row>
    <row r="26" spans="1:8">
      <c r="A26" s="1">
        <v>9988965</v>
      </c>
      <c r="B26" s="1" t="s">
        <v>12</v>
      </c>
      <c r="C26" s="1" t="s">
        <v>33</v>
      </c>
      <c r="D26" s="1" t="s">
        <v>2</v>
      </c>
      <c r="E26" s="1" t="s">
        <v>3</v>
      </c>
      <c r="F26" s="2">
        <v>32825</v>
      </c>
      <c r="G26" s="1">
        <f ca="1">QUOTIENT(TODAY()-Info[[#This Row],[تاریخ تولد]],365)</f>
        <v>36</v>
      </c>
      <c r="H26" s="1">
        <f>--TEXT(Info[[#This Row],[تاریخ تولد]],"[$-fa-IR,96]mm")</f>
        <v>8</v>
      </c>
    </row>
    <row r="27" spans="1:8">
      <c r="A27" s="1">
        <v>9989013</v>
      </c>
      <c r="B27" s="1" t="s">
        <v>0</v>
      </c>
      <c r="C27" s="1" t="s">
        <v>34</v>
      </c>
      <c r="D27" s="1" t="s">
        <v>9</v>
      </c>
      <c r="E27" s="1" t="s">
        <v>3</v>
      </c>
      <c r="F27" s="2">
        <v>32558</v>
      </c>
      <c r="G27" s="1">
        <f ca="1">QUOTIENT(TODAY()-Info[[#This Row],[تاریخ تولد]],365)</f>
        <v>36</v>
      </c>
      <c r="H27" s="1">
        <f>--TEXT(Info[[#This Row],[تاریخ تولد]],"[$-fa-IR,96]mm")</f>
        <v>11</v>
      </c>
    </row>
    <row r="28" spans="1:8">
      <c r="A28" s="1">
        <v>9989061</v>
      </c>
      <c r="B28" s="1" t="s">
        <v>4</v>
      </c>
      <c r="C28" s="1" t="s">
        <v>35</v>
      </c>
      <c r="D28" s="1" t="s">
        <v>9</v>
      </c>
      <c r="E28" s="1" t="s">
        <v>3</v>
      </c>
      <c r="F28" s="2">
        <v>32291</v>
      </c>
      <c r="G28" s="1">
        <f ca="1">QUOTIENT(TODAY()-Info[[#This Row],[تاریخ تولد]],365)</f>
        <v>37</v>
      </c>
      <c r="H28" s="1">
        <f>--TEXT(Info[[#This Row],[تاریخ تولد]],"[$-fa-IR,96]mm")</f>
        <v>3</v>
      </c>
    </row>
    <row r="29" spans="1:8">
      <c r="A29" s="1">
        <v>9989109</v>
      </c>
      <c r="B29" s="1" t="s">
        <v>7</v>
      </c>
      <c r="C29" s="1" t="s">
        <v>36</v>
      </c>
      <c r="D29" s="1" t="s">
        <v>9</v>
      </c>
      <c r="E29" s="1" t="s">
        <v>6</v>
      </c>
      <c r="F29" s="2">
        <v>32024</v>
      </c>
      <c r="G29" s="1">
        <f ca="1">QUOTIENT(TODAY()-Info[[#This Row],[تاریخ تولد]],365)</f>
        <v>38</v>
      </c>
      <c r="H29" s="1">
        <f>--TEXT(Info[[#This Row],[تاریخ تولد]],"[$-fa-IR,96]mm")</f>
        <v>6</v>
      </c>
    </row>
    <row r="30" spans="1:8">
      <c r="A30" s="1">
        <v>9989157</v>
      </c>
      <c r="B30" s="1" t="s">
        <v>10</v>
      </c>
      <c r="C30" s="1" t="s">
        <v>37</v>
      </c>
      <c r="D30" s="1" t="s">
        <v>9</v>
      </c>
      <c r="E30" s="1" t="s">
        <v>6</v>
      </c>
      <c r="F30" s="2">
        <v>31757</v>
      </c>
      <c r="G30" s="1">
        <f ca="1">QUOTIENT(TODAY()-Info[[#This Row],[تاریخ تولد]],365)</f>
        <v>38</v>
      </c>
      <c r="H30" s="1">
        <f>--TEXT(Info[[#This Row],[تاریخ تولد]],"[$-fa-IR,96]mm")</f>
        <v>9</v>
      </c>
    </row>
    <row r="31" spans="1:8">
      <c r="A31" s="1">
        <v>9989205</v>
      </c>
      <c r="B31" s="1" t="s">
        <v>12</v>
      </c>
      <c r="C31" s="1" t="s">
        <v>38</v>
      </c>
      <c r="D31" s="1" t="s">
        <v>9</v>
      </c>
      <c r="E31" s="1" t="s">
        <v>3</v>
      </c>
      <c r="F31" s="2">
        <v>31490</v>
      </c>
      <c r="G31" s="1">
        <f ca="1">QUOTIENT(TODAY()-Info[[#This Row],[تاریخ تولد]],365)</f>
        <v>39</v>
      </c>
      <c r="H31" s="1">
        <f>--TEXT(Info[[#This Row],[تاریخ تولد]],"[$-fa-IR,96]mm")</f>
        <v>12</v>
      </c>
    </row>
    <row r="32" spans="1:8">
      <c r="A32" s="1">
        <v>9989253</v>
      </c>
      <c r="B32" s="1" t="s">
        <v>0</v>
      </c>
      <c r="C32" s="1" t="s">
        <v>39</v>
      </c>
      <c r="D32" s="1" t="s">
        <v>9</v>
      </c>
      <c r="E32" s="1" t="s">
        <v>3</v>
      </c>
      <c r="F32" s="2">
        <v>31223</v>
      </c>
      <c r="G32" s="1">
        <f ca="1">QUOTIENT(TODAY()-Info[[#This Row],[تاریخ تولد]],365)</f>
        <v>40</v>
      </c>
      <c r="H32" s="1">
        <f>--TEXT(Info[[#This Row],[تاریخ تولد]],"[$-fa-IR,96]mm")</f>
        <v>4</v>
      </c>
    </row>
    <row r="33" spans="1:8">
      <c r="A33" s="1">
        <v>9989301</v>
      </c>
      <c r="B33" s="1" t="s">
        <v>4</v>
      </c>
      <c r="C33" s="1" t="s">
        <v>40</v>
      </c>
      <c r="D33" s="1" t="s">
        <v>9</v>
      </c>
      <c r="E33" s="1" t="s">
        <v>3</v>
      </c>
      <c r="F33" s="2">
        <v>30956</v>
      </c>
      <c r="G33" s="1">
        <f ca="1">QUOTIENT(TODAY()-Info[[#This Row],[تاریخ تولد]],365)</f>
        <v>41</v>
      </c>
      <c r="H33" s="1">
        <f>--TEXT(Info[[#This Row],[تاریخ تولد]],"[$-fa-IR,96]mm")</f>
        <v>7</v>
      </c>
    </row>
    <row r="34" spans="1:8">
      <c r="A34" s="1">
        <v>9989349</v>
      </c>
      <c r="B34" s="1" t="s">
        <v>7</v>
      </c>
      <c r="C34" s="1" t="s">
        <v>41</v>
      </c>
      <c r="D34" s="1" t="s">
        <v>9</v>
      </c>
      <c r="E34" s="1" t="s">
        <v>3</v>
      </c>
      <c r="F34" s="2">
        <v>30689</v>
      </c>
      <c r="G34" s="1">
        <f ca="1">QUOTIENT(TODAY()-Info[[#This Row],[تاریخ تولد]],365)</f>
        <v>41</v>
      </c>
      <c r="H34" s="1">
        <f>--TEXT(Info[[#This Row],[تاریخ تولد]],"[$-fa-IR,96]mm")</f>
        <v>10</v>
      </c>
    </row>
    <row r="35" spans="1:8">
      <c r="A35" s="1">
        <v>9989397</v>
      </c>
      <c r="B35" s="1" t="s">
        <v>12</v>
      </c>
      <c r="C35" s="1" t="s">
        <v>42</v>
      </c>
      <c r="D35" s="1" t="s">
        <v>2</v>
      </c>
      <c r="E35" s="1" t="s">
        <v>3</v>
      </c>
      <c r="F35" s="2">
        <v>30422</v>
      </c>
      <c r="G35" s="1">
        <f ca="1">QUOTIENT(TODAY()-Info[[#This Row],[تاریخ تولد]],365)</f>
        <v>42</v>
      </c>
      <c r="H35" s="1">
        <f>--TEXT(Info[[#This Row],[تاریخ تولد]],"[$-fa-IR,96]mm")</f>
        <v>1</v>
      </c>
    </row>
    <row r="36" spans="1:8">
      <c r="A36" s="1">
        <v>9989445</v>
      </c>
      <c r="B36" s="1" t="s">
        <v>12</v>
      </c>
      <c r="C36" s="1" t="s">
        <v>43</v>
      </c>
      <c r="D36" s="1" t="s">
        <v>9</v>
      </c>
      <c r="E36" s="1" t="s">
        <v>3</v>
      </c>
      <c r="F36" s="2">
        <v>30155</v>
      </c>
      <c r="G36" s="1">
        <f ca="1">QUOTIENT(TODAY()-Info[[#This Row],[تاریخ تولد]],365)</f>
        <v>43</v>
      </c>
      <c r="H36" s="1">
        <f>--TEXT(Info[[#This Row],[تاریخ تولد]],"[$-fa-IR,96]mm")</f>
        <v>5</v>
      </c>
    </row>
    <row r="37" spans="1:8">
      <c r="A37" s="1">
        <v>9989493</v>
      </c>
      <c r="B37" s="1" t="s">
        <v>12</v>
      </c>
      <c r="C37" s="1" t="s">
        <v>44</v>
      </c>
      <c r="D37" s="1" t="s">
        <v>9</v>
      </c>
      <c r="E37" s="1" t="s">
        <v>3</v>
      </c>
      <c r="F37" s="2">
        <v>29888</v>
      </c>
      <c r="G37" s="1">
        <f ca="1">QUOTIENT(TODAY()-Info[[#This Row],[تاریخ تولد]],365)</f>
        <v>44</v>
      </c>
      <c r="H37" s="1">
        <f>--TEXT(Info[[#This Row],[تاریخ تولد]],"[$-fa-IR,96]mm")</f>
        <v>8</v>
      </c>
    </row>
    <row r="38" spans="1:8">
      <c r="A38" s="1">
        <v>9989541</v>
      </c>
      <c r="B38" s="1" t="s">
        <v>4</v>
      </c>
      <c r="C38" s="1" t="s">
        <v>45</v>
      </c>
      <c r="D38" s="1" t="s">
        <v>9</v>
      </c>
      <c r="E38" s="1" t="s">
        <v>6</v>
      </c>
      <c r="F38" s="2">
        <v>29621</v>
      </c>
      <c r="G38" s="1">
        <f ca="1">QUOTIENT(TODAY()-Info[[#This Row],[تاریخ تولد]],365)</f>
        <v>44</v>
      </c>
      <c r="H38" s="1">
        <f>--TEXT(Info[[#This Row],[تاریخ تولد]],"[$-fa-IR,96]mm")</f>
        <v>11</v>
      </c>
    </row>
    <row r="39" spans="1:8">
      <c r="A39" s="1">
        <v>9989589</v>
      </c>
      <c r="B39" s="1" t="s">
        <v>7</v>
      </c>
      <c r="C39" s="1" t="s">
        <v>46</v>
      </c>
      <c r="D39" s="1" t="s">
        <v>9</v>
      </c>
      <c r="E39" s="1" t="s">
        <v>6</v>
      </c>
      <c r="F39" s="2">
        <v>29354</v>
      </c>
      <c r="G39" s="1">
        <f ca="1">QUOTIENT(TODAY()-Info[[#This Row],[تاریخ تولد]],365)</f>
        <v>45</v>
      </c>
      <c r="H39" s="1">
        <f>--TEXT(Info[[#This Row],[تاریخ تولد]],"[$-fa-IR,96]mm")</f>
        <v>2</v>
      </c>
    </row>
    <row r="40" spans="1:8">
      <c r="A40" s="1">
        <v>9989637</v>
      </c>
      <c r="B40" s="1" t="s">
        <v>12</v>
      </c>
      <c r="C40" s="1" t="s">
        <v>47</v>
      </c>
      <c r="D40" s="1" t="s">
        <v>2</v>
      </c>
      <c r="E40" s="1" t="s">
        <v>3</v>
      </c>
      <c r="F40" s="2">
        <v>29087</v>
      </c>
      <c r="G40" s="1">
        <f ca="1">QUOTIENT(TODAY()-Info[[#This Row],[تاریخ تولد]],365)</f>
        <v>46</v>
      </c>
      <c r="H40" s="1">
        <f>--TEXT(Info[[#This Row],[تاریخ تولد]],"[$-fa-IR,96]mm")</f>
        <v>5</v>
      </c>
    </row>
    <row r="41" spans="1:8">
      <c r="A41" s="1">
        <v>9989685</v>
      </c>
      <c r="B41" s="1" t="s">
        <v>4</v>
      </c>
      <c r="C41" s="1" t="s">
        <v>48</v>
      </c>
      <c r="D41" s="1" t="s">
        <v>9</v>
      </c>
      <c r="E41" s="1" t="s">
        <v>6</v>
      </c>
      <c r="F41" s="2">
        <v>28820</v>
      </c>
      <c r="G41" s="1">
        <f ca="1">QUOTIENT(TODAY()-Info[[#This Row],[تاریخ تولد]],365)</f>
        <v>47</v>
      </c>
      <c r="H41" s="1">
        <f>--TEXT(Info[[#This Row],[تاریخ تولد]],"[$-fa-IR,96]mm")</f>
        <v>9</v>
      </c>
    </row>
    <row r="42" spans="1:8">
      <c r="A42" s="1">
        <v>9989733</v>
      </c>
      <c r="B42" s="1" t="s">
        <v>0</v>
      </c>
      <c r="C42" s="1" t="s">
        <v>49</v>
      </c>
      <c r="D42" s="1" t="s">
        <v>9</v>
      </c>
      <c r="E42" s="1" t="s">
        <v>3</v>
      </c>
      <c r="F42" s="2">
        <v>33893</v>
      </c>
      <c r="G42" s="1">
        <f ca="1">QUOTIENT(TODAY()-Info[[#This Row],[تاریخ تولد]],365)</f>
        <v>33</v>
      </c>
      <c r="H42" s="1">
        <f>--TEXT(Info[[#This Row],[تاریخ تولد]],"[$-fa-IR,96]mm")</f>
        <v>7</v>
      </c>
    </row>
    <row r="43" spans="1:8">
      <c r="A43" s="1">
        <v>9989781</v>
      </c>
      <c r="B43" s="1" t="s">
        <v>4</v>
      </c>
      <c r="C43" s="1" t="s">
        <v>50</v>
      </c>
      <c r="D43" s="1" t="s">
        <v>9</v>
      </c>
      <c r="E43" s="1" t="s">
        <v>6</v>
      </c>
      <c r="F43" s="2">
        <v>33626</v>
      </c>
      <c r="G43" s="1">
        <f ca="1">QUOTIENT(TODAY()-Info[[#This Row],[تاریخ تولد]],365)</f>
        <v>33</v>
      </c>
      <c r="H43" s="1">
        <f>--TEXT(Info[[#This Row],[تاریخ تولد]],"[$-fa-IR,96]mm")</f>
        <v>11</v>
      </c>
    </row>
    <row r="44" spans="1:8">
      <c r="A44" s="1">
        <v>9989829</v>
      </c>
      <c r="B44" s="1" t="s">
        <v>7</v>
      </c>
      <c r="C44" s="1" t="s">
        <v>51</v>
      </c>
      <c r="D44" s="1" t="s">
        <v>9</v>
      </c>
      <c r="E44" s="1" t="s">
        <v>3</v>
      </c>
      <c r="F44" s="2">
        <v>33359</v>
      </c>
      <c r="G44" s="1">
        <f ca="1">QUOTIENT(TODAY()-Info[[#This Row],[تاریخ تولد]],365)</f>
        <v>34</v>
      </c>
      <c r="H44" s="1">
        <f>--TEXT(Info[[#This Row],[تاریخ تولد]],"[$-fa-IR,96]mm")</f>
        <v>2</v>
      </c>
    </row>
    <row r="45" spans="1:8">
      <c r="A45" s="1">
        <v>9989877</v>
      </c>
      <c r="B45" s="1" t="s">
        <v>10</v>
      </c>
      <c r="C45" s="1" t="s">
        <v>52</v>
      </c>
      <c r="D45" s="1" t="s">
        <v>9</v>
      </c>
      <c r="E45" s="1" t="s">
        <v>3</v>
      </c>
      <c r="F45" s="2">
        <v>33092</v>
      </c>
      <c r="G45" s="1">
        <f ca="1">QUOTIENT(TODAY()-Info[[#This Row],[تاریخ تولد]],365)</f>
        <v>35</v>
      </c>
      <c r="H45" s="1">
        <f>--TEXT(Info[[#This Row],[تاریخ تولد]],"[$-fa-IR,96]mm")</f>
        <v>5</v>
      </c>
    </row>
    <row r="46" spans="1:8">
      <c r="A46" s="1">
        <v>9989925</v>
      </c>
      <c r="B46" s="1" t="s">
        <v>12</v>
      </c>
      <c r="C46" s="1" t="s">
        <v>53</v>
      </c>
      <c r="D46" s="1" t="s">
        <v>9</v>
      </c>
      <c r="E46" s="1" t="s">
        <v>3</v>
      </c>
      <c r="F46" s="2">
        <v>32825</v>
      </c>
      <c r="G46" s="1">
        <f ca="1">QUOTIENT(TODAY()-Info[[#This Row],[تاریخ تولد]],365)</f>
        <v>36</v>
      </c>
      <c r="H46" s="1">
        <f>--TEXT(Info[[#This Row],[تاریخ تولد]],"[$-fa-IR,96]mm")</f>
        <v>8</v>
      </c>
    </row>
    <row r="47" spans="1:8">
      <c r="A47" s="1">
        <v>9989973</v>
      </c>
      <c r="B47" s="1" t="s">
        <v>0</v>
      </c>
      <c r="C47" s="1" t="s">
        <v>54</v>
      </c>
      <c r="D47" s="1" t="s">
        <v>2</v>
      </c>
      <c r="E47" s="1" t="s">
        <v>3</v>
      </c>
      <c r="F47" s="2">
        <v>32558</v>
      </c>
      <c r="G47" s="1">
        <f ca="1">QUOTIENT(TODAY()-Info[[#This Row],[تاریخ تولد]],365)</f>
        <v>36</v>
      </c>
      <c r="H47" s="1">
        <f>--TEXT(Info[[#This Row],[تاریخ تولد]],"[$-fa-IR,96]mm")</f>
        <v>11</v>
      </c>
    </row>
    <row r="48" spans="1:8">
      <c r="A48" s="1">
        <v>9990021</v>
      </c>
      <c r="B48" s="1" t="s">
        <v>4</v>
      </c>
      <c r="C48" s="1" t="s">
        <v>55</v>
      </c>
      <c r="D48" s="1" t="s">
        <v>9</v>
      </c>
      <c r="E48" s="1" t="s">
        <v>3</v>
      </c>
      <c r="F48" s="2">
        <v>32291</v>
      </c>
      <c r="G48" s="1">
        <f ca="1">QUOTIENT(TODAY()-Info[[#This Row],[تاریخ تولد]],365)</f>
        <v>37</v>
      </c>
      <c r="H48" s="1">
        <f>--TEXT(Info[[#This Row],[تاریخ تولد]],"[$-fa-IR,96]mm")</f>
        <v>3</v>
      </c>
    </row>
    <row r="49" spans="1:8">
      <c r="A49" s="1">
        <v>9990069</v>
      </c>
      <c r="B49" s="1" t="s">
        <v>7</v>
      </c>
      <c r="C49" s="1" t="s">
        <v>56</v>
      </c>
      <c r="D49" s="1" t="s">
        <v>9</v>
      </c>
      <c r="E49" s="1" t="s">
        <v>6</v>
      </c>
      <c r="F49" s="2">
        <v>32024</v>
      </c>
      <c r="G49" s="1">
        <f ca="1">QUOTIENT(TODAY()-Info[[#This Row],[تاریخ تولد]],365)</f>
        <v>38</v>
      </c>
      <c r="H49" s="1">
        <f>--TEXT(Info[[#This Row],[تاریخ تولد]],"[$-fa-IR,96]mm")</f>
        <v>6</v>
      </c>
    </row>
    <row r="50" spans="1:8">
      <c r="A50" s="1">
        <v>9990117</v>
      </c>
      <c r="B50" s="1" t="s">
        <v>10</v>
      </c>
      <c r="C50" s="1" t="s">
        <v>57</v>
      </c>
      <c r="D50" s="1" t="s">
        <v>9</v>
      </c>
      <c r="E50" s="1" t="s">
        <v>6</v>
      </c>
      <c r="F50" s="2">
        <v>31757</v>
      </c>
      <c r="G50" s="1">
        <f ca="1">QUOTIENT(TODAY()-Info[[#This Row],[تاریخ تولد]],365)</f>
        <v>38</v>
      </c>
      <c r="H50" s="1">
        <f>--TEXT(Info[[#This Row],[تاریخ تولد]],"[$-fa-IR,96]mm")</f>
        <v>9</v>
      </c>
    </row>
    <row r="51" spans="1:8">
      <c r="A51" s="1">
        <v>9990165</v>
      </c>
      <c r="B51" s="1" t="s">
        <v>12</v>
      </c>
      <c r="C51" s="1" t="s">
        <v>58</v>
      </c>
      <c r="D51" s="1" t="s">
        <v>2</v>
      </c>
      <c r="E51" s="1" t="s">
        <v>3</v>
      </c>
      <c r="F51" s="2">
        <v>31490</v>
      </c>
      <c r="G51" s="1">
        <f ca="1">QUOTIENT(TODAY()-Info[[#This Row],[تاریخ تولد]],365)</f>
        <v>39</v>
      </c>
      <c r="H51" s="1">
        <f>--TEXT(Info[[#This Row],[تاریخ تولد]],"[$-fa-IR,96]mm")</f>
        <v>12</v>
      </c>
    </row>
    <row r="52" spans="1:8">
      <c r="A52" s="1">
        <v>9990213</v>
      </c>
      <c r="B52" s="1" t="s">
        <v>4</v>
      </c>
      <c r="C52" s="1" t="s">
        <v>59</v>
      </c>
      <c r="D52" s="1" t="s">
        <v>2</v>
      </c>
      <c r="E52" s="1" t="s">
        <v>3</v>
      </c>
      <c r="F52" s="2">
        <v>31223</v>
      </c>
      <c r="G52" s="1">
        <f ca="1">QUOTIENT(TODAY()-Info[[#This Row],[تاریخ تولد]],365)</f>
        <v>40</v>
      </c>
      <c r="H52" s="1">
        <f>--TEXT(Info[[#This Row],[تاریخ تولد]],"[$-fa-IR,96]mm")</f>
        <v>4</v>
      </c>
    </row>
    <row r="53" spans="1:8">
      <c r="A53" s="1">
        <v>9990261</v>
      </c>
      <c r="B53" s="1" t="s">
        <v>7</v>
      </c>
      <c r="C53" s="1" t="s">
        <v>60</v>
      </c>
      <c r="D53" s="1" t="s">
        <v>2</v>
      </c>
      <c r="E53" s="1" t="s">
        <v>3</v>
      </c>
      <c r="F53" s="2">
        <v>30956</v>
      </c>
      <c r="G53" s="1">
        <f ca="1">QUOTIENT(TODAY()-Info[[#This Row],[تاریخ تولد]],365)</f>
        <v>41</v>
      </c>
      <c r="H53" s="1">
        <f>--TEXT(Info[[#This Row],[تاریخ تولد]],"[$-fa-IR,96]mm")</f>
        <v>7</v>
      </c>
    </row>
    <row r="54" spans="1:8">
      <c r="A54" s="1">
        <v>9990309</v>
      </c>
      <c r="B54" s="1" t="s">
        <v>10</v>
      </c>
      <c r="C54" s="1" t="s">
        <v>61</v>
      </c>
      <c r="D54" s="1" t="s">
        <v>9</v>
      </c>
      <c r="E54" s="1" t="s">
        <v>3</v>
      </c>
      <c r="F54" s="2">
        <v>30689</v>
      </c>
      <c r="G54" s="1">
        <f ca="1">QUOTIENT(TODAY()-Info[[#This Row],[تاریخ تولد]],365)</f>
        <v>41</v>
      </c>
      <c r="H54" s="1">
        <f>--TEXT(Info[[#This Row],[تاریخ تولد]],"[$-fa-IR,96]mm")</f>
        <v>10</v>
      </c>
    </row>
    <row r="55" spans="1:8">
      <c r="A55" s="1">
        <v>9990357</v>
      </c>
      <c r="B55" s="1" t="s">
        <v>12</v>
      </c>
      <c r="C55" s="1" t="s">
        <v>62</v>
      </c>
      <c r="D55" s="1" t="s">
        <v>9</v>
      </c>
      <c r="E55" s="1" t="s">
        <v>3</v>
      </c>
      <c r="F55" s="2">
        <v>30422</v>
      </c>
      <c r="G55" s="1">
        <f ca="1">QUOTIENT(TODAY()-Info[[#This Row],[تاریخ تولد]],365)</f>
        <v>42</v>
      </c>
      <c r="H55" s="1">
        <f>--TEXT(Info[[#This Row],[تاریخ تولد]],"[$-fa-IR,96]mm")</f>
        <v>1</v>
      </c>
    </row>
    <row r="56" spans="1:8">
      <c r="A56" s="1">
        <v>9990405</v>
      </c>
      <c r="B56" s="1" t="s">
        <v>12</v>
      </c>
      <c r="C56" s="1" t="s">
        <v>63</v>
      </c>
      <c r="D56" s="1" t="s">
        <v>9</v>
      </c>
      <c r="E56" s="1" t="s">
        <v>3</v>
      </c>
      <c r="F56" s="2">
        <v>30155</v>
      </c>
      <c r="G56" s="1">
        <f ca="1">QUOTIENT(TODAY()-Info[[#This Row],[تاریخ تولد]],365)</f>
        <v>43</v>
      </c>
      <c r="H56" s="1">
        <f>--TEXT(Info[[#This Row],[تاریخ تولد]],"[$-fa-IR,96]mm")</f>
        <v>5</v>
      </c>
    </row>
    <row r="57" spans="1:8">
      <c r="A57" s="1">
        <v>9990453</v>
      </c>
      <c r="B57" s="1" t="s">
        <v>12</v>
      </c>
      <c r="C57" s="1" t="s">
        <v>64</v>
      </c>
      <c r="D57" s="1" t="s">
        <v>9</v>
      </c>
      <c r="E57" s="1" t="s">
        <v>3</v>
      </c>
      <c r="F57" s="2">
        <v>29888</v>
      </c>
      <c r="G57" s="1">
        <f ca="1">QUOTIENT(TODAY()-Info[[#This Row],[تاریخ تولد]],365)</f>
        <v>44</v>
      </c>
      <c r="H57" s="1">
        <f>--TEXT(Info[[#This Row],[تاریخ تولد]],"[$-fa-IR,96]mm")</f>
        <v>8</v>
      </c>
    </row>
    <row r="58" spans="1:8">
      <c r="A58" s="1">
        <v>9990501</v>
      </c>
      <c r="B58" s="1" t="s">
        <v>4</v>
      </c>
      <c r="C58" s="1" t="s">
        <v>65</v>
      </c>
      <c r="D58" s="1" t="s">
        <v>2</v>
      </c>
      <c r="E58" s="1" t="s">
        <v>6</v>
      </c>
      <c r="F58" s="2">
        <v>29621</v>
      </c>
      <c r="G58" s="1">
        <f ca="1">QUOTIENT(TODAY()-Info[[#This Row],[تاریخ تولد]],365)</f>
        <v>44</v>
      </c>
      <c r="H58" s="1">
        <f>--TEXT(Info[[#This Row],[تاریخ تولد]],"[$-fa-IR,96]mm")</f>
        <v>11</v>
      </c>
    </row>
    <row r="59" spans="1:8">
      <c r="A59" s="1">
        <v>9990549</v>
      </c>
      <c r="B59" s="1" t="s">
        <v>7</v>
      </c>
      <c r="C59" s="1" t="s">
        <v>66</v>
      </c>
      <c r="D59" s="1" t="s">
        <v>9</v>
      </c>
      <c r="E59" s="1" t="s">
        <v>6</v>
      </c>
      <c r="F59" s="2">
        <v>29354</v>
      </c>
      <c r="G59" s="1">
        <f ca="1">QUOTIENT(TODAY()-Info[[#This Row],[تاریخ تولد]],365)</f>
        <v>45</v>
      </c>
      <c r="H59" s="1">
        <f>--TEXT(Info[[#This Row],[تاریخ تولد]],"[$-fa-IR,96]mm")</f>
        <v>2</v>
      </c>
    </row>
    <row r="60" spans="1:8">
      <c r="A60" s="1">
        <v>9990597</v>
      </c>
      <c r="B60" s="1" t="s">
        <v>12</v>
      </c>
      <c r="C60" s="1" t="s">
        <v>67</v>
      </c>
      <c r="D60" s="1" t="s">
        <v>2</v>
      </c>
      <c r="E60" s="1" t="s">
        <v>3</v>
      </c>
      <c r="F60" s="2">
        <v>29087</v>
      </c>
      <c r="G60" s="1">
        <f ca="1">QUOTIENT(TODAY()-Info[[#This Row],[تاریخ تولد]],365)</f>
        <v>46</v>
      </c>
      <c r="H60" s="1">
        <f>--TEXT(Info[[#This Row],[تاریخ تولد]],"[$-fa-IR,96]mm")</f>
        <v>5</v>
      </c>
    </row>
    <row r="61" spans="1:8">
      <c r="A61" s="1">
        <v>9990645</v>
      </c>
      <c r="B61" s="1" t="s">
        <v>4</v>
      </c>
      <c r="C61" s="1" t="s">
        <v>68</v>
      </c>
      <c r="D61" s="1" t="s">
        <v>9</v>
      </c>
      <c r="E61" s="1" t="s">
        <v>6</v>
      </c>
      <c r="F61" s="2">
        <v>28820</v>
      </c>
      <c r="G61" s="1">
        <f ca="1">QUOTIENT(TODAY()-Info[[#This Row],[تاریخ تولد]],365)</f>
        <v>47</v>
      </c>
      <c r="H61" s="1">
        <f>--TEXT(Info[[#This Row],[تاریخ تولد]],"[$-fa-IR,96]mm")</f>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6B230-C596-4DFC-A195-A7101CDA440A}">
  <dimension ref="A1:K721"/>
  <sheetViews>
    <sheetView rightToLeft="1" topLeftCell="A58" zoomScaleNormal="100" workbookViewId="0">
      <selection activeCell="C2" sqref="C2"/>
    </sheetView>
  </sheetViews>
  <sheetFormatPr defaultRowHeight="14.4"/>
  <cols>
    <col min="1" max="1" width="10.21875" customWidth="1"/>
    <col min="2" max="2" width="12.77734375" bestFit="1" customWidth="1"/>
    <col min="3" max="3" width="12.77734375" customWidth="1"/>
    <col min="4" max="4" width="7.88671875" bestFit="1" customWidth="1"/>
    <col min="5" max="5" width="13.88671875" bestFit="1" customWidth="1"/>
    <col min="6" max="6" width="12.88671875" bestFit="1" customWidth="1"/>
    <col min="7" max="7" width="13.88671875" bestFit="1" customWidth="1"/>
    <col min="8" max="8" width="14.44140625" bestFit="1" customWidth="1"/>
    <col min="9" max="10" width="11.33203125" bestFit="1" customWidth="1"/>
    <col min="11" max="11" width="16.77734375" bestFit="1" customWidth="1"/>
  </cols>
  <sheetData>
    <row r="1" spans="1:11">
      <c r="A1" s="3" t="s">
        <v>69</v>
      </c>
      <c r="B1" s="19" t="s">
        <v>77</v>
      </c>
      <c r="C1" s="19" t="s">
        <v>115</v>
      </c>
      <c r="D1" s="4" t="s">
        <v>78</v>
      </c>
      <c r="E1" s="4" t="s">
        <v>79</v>
      </c>
      <c r="F1" s="4" t="s">
        <v>80</v>
      </c>
      <c r="G1" s="4" t="s">
        <v>81</v>
      </c>
      <c r="H1" s="4" t="s">
        <v>82</v>
      </c>
      <c r="I1" s="4" t="s">
        <v>83</v>
      </c>
      <c r="J1" s="4" t="s">
        <v>84</v>
      </c>
      <c r="K1" s="5" t="s">
        <v>85</v>
      </c>
    </row>
    <row r="2" spans="1:11">
      <c r="A2" s="6">
        <v>9987656</v>
      </c>
      <c r="B2" s="7">
        <f t="shared" ref="B2:B65" ca="1" si="0">RANDBETWEEN(30,100)</f>
        <v>47</v>
      </c>
      <c r="C2" s="7">
        <f>MATCH(Salary[[#This Row],[ماه]],Calc!$A$16:$A$27,0)</f>
        <v>1</v>
      </c>
      <c r="D2" s="8" t="s">
        <v>86</v>
      </c>
      <c r="E2" s="9">
        <f ca="1">RANDBETWEEN(3000,15000)*1000</f>
        <v>8028000</v>
      </c>
      <c r="F2" s="9">
        <f ca="1">0.7*E2</f>
        <v>5619600</v>
      </c>
      <c r="G2" s="9">
        <f t="shared" ref="G2:G65" ca="1" si="1">E2+F2</f>
        <v>13647600</v>
      </c>
      <c r="H2" s="9">
        <f t="shared" ref="H2:H65" ca="1" si="2">0.23*E2</f>
        <v>1846440</v>
      </c>
      <c r="I2" s="9">
        <f t="shared" ref="I2:I65" ca="1" si="3">0.07*E2</f>
        <v>561960</v>
      </c>
      <c r="J2" s="22">
        <f ca="1">IF(Salary[[#This Row],[پایه حقوق]]&lt;=5600000,0,(Salary[[#This Row],[پایه حقوق]]-5600000)*0.1)</f>
        <v>242800</v>
      </c>
      <c r="K2" s="10">
        <f t="shared" ref="K2:K65" ca="1" si="4">G2-I2-J2</f>
        <v>12842840</v>
      </c>
    </row>
    <row r="3" spans="1:11">
      <c r="A3" s="6">
        <v>9987728</v>
      </c>
      <c r="B3" s="7">
        <f t="shared" ca="1" si="0"/>
        <v>90</v>
      </c>
      <c r="C3" s="7">
        <f>MATCH(Salary[[#This Row],[ماه]],Calc!$A$16:$A$27,0)</f>
        <v>1</v>
      </c>
      <c r="D3" s="8" t="s">
        <v>86</v>
      </c>
      <c r="E3" s="9">
        <f t="shared" ref="E3:E66" ca="1" si="5">RANDBETWEEN(3000,15000)*1000</f>
        <v>5756000</v>
      </c>
      <c r="F3" s="8"/>
      <c r="G3" s="9">
        <f t="shared" ca="1" si="1"/>
        <v>5756000</v>
      </c>
      <c r="H3" s="9">
        <f t="shared" ca="1" si="2"/>
        <v>1323880</v>
      </c>
      <c r="I3" s="9">
        <f t="shared" ca="1" si="3"/>
        <v>402920.00000000006</v>
      </c>
      <c r="J3" s="22">
        <f ca="1">IF(Salary[[#This Row],[پایه حقوق]]&lt;=5600000,0,(Salary[[#This Row],[پایه حقوق]]-5600000)*0.1)</f>
        <v>15600</v>
      </c>
      <c r="K3" s="10">
        <f t="shared" ca="1" si="4"/>
        <v>5337480</v>
      </c>
    </row>
    <row r="4" spans="1:11">
      <c r="A4" s="6">
        <v>9987826</v>
      </c>
      <c r="B4" s="7">
        <f t="shared" ca="1" si="0"/>
        <v>71</v>
      </c>
      <c r="C4" s="7">
        <f>MATCH(Salary[[#This Row],[ماه]],Calc!$A$16:$A$27,0)</f>
        <v>1</v>
      </c>
      <c r="D4" s="8" t="s">
        <v>86</v>
      </c>
      <c r="E4" s="9">
        <f t="shared" ca="1" si="5"/>
        <v>14962000</v>
      </c>
      <c r="F4" s="8"/>
      <c r="G4" s="9">
        <f t="shared" ca="1" si="1"/>
        <v>14962000</v>
      </c>
      <c r="H4" s="9">
        <f t="shared" ca="1" si="2"/>
        <v>3441260</v>
      </c>
      <c r="I4" s="9">
        <f t="shared" ca="1" si="3"/>
        <v>1047340.0000000001</v>
      </c>
      <c r="J4" s="22">
        <f ca="1">IF(Salary[[#This Row],[پایه حقوق]]&lt;=5600000,0,(Salary[[#This Row],[پایه حقوق]]-5600000)*0.1)</f>
        <v>936200</v>
      </c>
      <c r="K4" s="10">
        <f t="shared" ca="1" si="4"/>
        <v>12978460</v>
      </c>
    </row>
    <row r="5" spans="1:11">
      <c r="A5" s="6">
        <v>9987915</v>
      </c>
      <c r="B5" s="7">
        <f t="shared" ca="1" si="0"/>
        <v>83</v>
      </c>
      <c r="C5" s="7">
        <f>MATCH(Salary[[#This Row],[ماه]],Calc!$A$16:$A$27,0)</f>
        <v>1</v>
      </c>
      <c r="D5" s="8" t="s">
        <v>86</v>
      </c>
      <c r="E5" s="9">
        <f t="shared" ca="1" si="5"/>
        <v>12404000</v>
      </c>
      <c r="F5" s="9">
        <f ca="1">0.7*E5</f>
        <v>8682800</v>
      </c>
      <c r="G5" s="9">
        <f t="shared" ca="1" si="1"/>
        <v>21086800</v>
      </c>
      <c r="H5" s="9">
        <f t="shared" ca="1" si="2"/>
        <v>2852920</v>
      </c>
      <c r="I5" s="9">
        <f t="shared" ca="1" si="3"/>
        <v>868280.00000000012</v>
      </c>
      <c r="J5" s="22">
        <f ca="1">IF(Salary[[#This Row],[پایه حقوق]]&lt;=5600000,0,(Salary[[#This Row],[پایه حقوق]]-5600000)*0.1)</f>
        <v>680400</v>
      </c>
      <c r="K5" s="10">
        <f t="shared" ca="1" si="4"/>
        <v>19538120</v>
      </c>
    </row>
    <row r="6" spans="1:11">
      <c r="A6" s="6">
        <v>9987938</v>
      </c>
      <c r="B6" s="7">
        <f t="shared" ca="1" si="0"/>
        <v>30</v>
      </c>
      <c r="C6" s="7">
        <f>MATCH(Salary[[#This Row],[ماه]],Calc!$A$16:$A$27,0)</f>
        <v>1</v>
      </c>
      <c r="D6" s="8" t="s">
        <v>86</v>
      </c>
      <c r="E6" s="9">
        <f t="shared" ca="1" si="5"/>
        <v>3656000</v>
      </c>
      <c r="F6" s="8"/>
      <c r="G6" s="9">
        <f t="shared" ca="1" si="1"/>
        <v>3656000</v>
      </c>
      <c r="H6" s="9">
        <f t="shared" ca="1" si="2"/>
        <v>840880</v>
      </c>
      <c r="I6" s="9">
        <f t="shared" ca="1" si="3"/>
        <v>255920.00000000003</v>
      </c>
      <c r="J6" s="22">
        <f ca="1">IF(Salary[[#This Row],[پایه حقوق]]&lt;=5600000,0,(Salary[[#This Row],[پایه حقوق]]-5600000)*0.1)</f>
        <v>0</v>
      </c>
      <c r="K6" s="10">
        <f t="shared" ca="1" si="4"/>
        <v>3400080</v>
      </c>
    </row>
    <row r="7" spans="1:11">
      <c r="A7" s="6">
        <v>9988023</v>
      </c>
      <c r="B7" s="7">
        <f t="shared" ca="1" si="0"/>
        <v>59</v>
      </c>
      <c r="C7" s="7">
        <f>MATCH(Salary[[#This Row],[ماه]],Calc!$A$16:$A$27,0)</f>
        <v>1</v>
      </c>
      <c r="D7" s="8" t="s">
        <v>86</v>
      </c>
      <c r="E7" s="9">
        <f t="shared" ca="1" si="5"/>
        <v>5975000</v>
      </c>
      <c r="F7" s="8"/>
      <c r="G7" s="9">
        <f t="shared" ca="1" si="1"/>
        <v>5975000</v>
      </c>
      <c r="H7" s="9">
        <f t="shared" ca="1" si="2"/>
        <v>1374250</v>
      </c>
      <c r="I7" s="9">
        <f t="shared" ca="1" si="3"/>
        <v>418250.00000000006</v>
      </c>
      <c r="J7" s="22">
        <f ca="1">IF(Salary[[#This Row],[پایه حقوق]]&lt;=5600000,0,(Salary[[#This Row],[پایه حقوق]]-5600000)*0.1)</f>
        <v>37500</v>
      </c>
      <c r="K7" s="10">
        <f t="shared" ca="1" si="4"/>
        <v>5519250</v>
      </c>
    </row>
    <row r="8" spans="1:11">
      <c r="A8" s="6">
        <v>9988106</v>
      </c>
      <c r="B8" s="7">
        <f t="shared" ca="1" si="0"/>
        <v>92</v>
      </c>
      <c r="C8" s="7">
        <f>MATCH(Salary[[#This Row],[ماه]],Calc!$A$16:$A$27,0)</f>
        <v>1</v>
      </c>
      <c r="D8" s="8" t="s">
        <v>86</v>
      </c>
      <c r="E8" s="9">
        <f t="shared" ca="1" si="5"/>
        <v>3391000</v>
      </c>
      <c r="F8" s="8"/>
      <c r="G8" s="9">
        <f t="shared" ca="1" si="1"/>
        <v>3391000</v>
      </c>
      <c r="H8" s="9">
        <f t="shared" ca="1" si="2"/>
        <v>779930</v>
      </c>
      <c r="I8" s="9">
        <f t="shared" ca="1" si="3"/>
        <v>237370.00000000003</v>
      </c>
      <c r="J8" s="22">
        <f ca="1">IF(Salary[[#This Row],[پایه حقوق]]&lt;=5600000,0,(Salary[[#This Row],[پایه حقوق]]-5600000)*0.1)</f>
        <v>0</v>
      </c>
      <c r="K8" s="10">
        <f t="shared" ca="1" si="4"/>
        <v>3153630</v>
      </c>
    </row>
    <row r="9" spans="1:11">
      <c r="A9" s="6">
        <v>9988137</v>
      </c>
      <c r="B9" s="7">
        <f t="shared" ca="1" si="0"/>
        <v>90</v>
      </c>
      <c r="C9" s="7">
        <f>MATCH(Salary[[#This Row],[ماه]],Calc!$A$16:$A$27,0)</f>
        <v>1</v>
      </c>
      <c r="D9" s="8" t="s">
        <v>86</v>
      </c>
      <c r="E9" s="9">
        <f t="shared" ca="1" si="5"/>
        <v>3047000</v>
      </c>
      <c r="F9" s="9">
        <f ca="1">0.7*E9</f>
        <v>2132900</v>
      </c>
      <c r="G9" s="9">
        <f t="shared" ca="1" si="1"/>
        <v>5179900</v>
      </c>
      <c r="H9" s="9">
        <f t="shared" ca="1" si="2"/>
        <v>700810</v>
      </c>
      <c r="I9" s="9">
        <f t="shared" ca="1" si="3"/>
        <v>213290.00000000003</v>
      </c>
      <c r="J9" s="22">
        <f ca="1">IF(Salary[[#This Row],[پایه حقوق]]&lt;=5600000,0,(Salary[[#This Row],[پایه حقوق]]-5600000)*0.1)</f>
        <v>0</v>
      </c>
      <c r="K9" s="10">
        <f t="shared" ca="1" si="4"/>
        <v>4966610</v>
      </c>
    </row>
    <row r="10" spans="1:11">
      <c r="A10" s="6">
        <v>9988165</v>
      </c>
      <c r="B10" s="7">
        <f t="shared" ca="1" si="0"/>
        <v>41</v>
      </c>
      <c r="C10" s="7">
        <f>MATCH(Salary[[#This Row],[ماه]],Calc!$A$16:$A$27,0)</f>
        <v>1</v>
      </c>
      <c r="D10" s="8" t="s">
        <v>86</v>
      </c>
      <c r="E10" s="9">
        <f t="shared" ca="1" si="5"/>
        <v>5477000</v>
      </c>
      <c r="F10" s="8"/>
      <c r="G10" s="9">
        <f t="shared" ca="1" si="1"/>
        <v>5477000</v>
      </c>
      <c r="H10" s="9">
        <f t="shared" ca="1" si="2"/>
        <v>1259710</v>
      </c>
      <c r="I10" s="9">
        <f t="shared" ca="1" si="3"/>
        <v>383390.00000000006</v>
      </c>
      <c r="J10" s="22">
        <f ca="1">IF(Salary[[#This Row],[پایه حقوق]]&lt;=5600000,0,(Salary[[#This Row],[پایه حقوق]]-5600000)*0.1)</f>
        <v>0</v>
      </c>
      <c r="K10" s="10">
        <f t="shared" ca="1" si="4"/>
        <v>5093610</v>
      </c>
    </row>
    <row r="11" spans="1:11">
      <c r="A11" s="6">
        <v>9988236</v>
      </c>
      <c r="B11" s="7">
        <f t="shared" ca="1" si="0"/>
        <v>76</v>
      </c>
      <c r="C11" s="7">
        <f>MATCH(Salary[[#This Row],[ماه]],Calc!$A$16:$A$27,0)</f>
        <v>1</v>
      </c>
      <c r="D11" s="8" t="s">
        <v>86</v>
      </c>
      <c r="E11" s="9">
        <f t="shared" ca="1" si="5"/>
        <v>13522000</v>
      </c>
      <c r="F11" s="9">
        <f ca="1">0.7*E11</f>
        <v>9465400</v>
      </c>
      <c r="G11" s="9">
        <f t="shared" ca="1" si="1"/>
        <v>22987400</v>
      </c>
      <c r="H11" s="9">
        <f t="shared" ca="1" si="2"/>
        <v>3110060</v>
      </c>
      <c r="I11" s="9">
        <f t="shared" ca="1" si="3"/>
        <v>946540.00000000012</v>
      </c>
      <c r="J11" s="22">
        <f ca="1">IF(Salary[[#This Row],[پایه حقوق]]&lt;=5600000,0,(Salary[[#This Row],[پایه حقوق]]-5600000)*0.1)</f>
        <v>792200</v>
      </c>
      <c r="K11" s="10">
        <f t="shared" ca="1" si="4"/>
        <v>21248660</v>
      </c>
    </row>
    <row r="12" spans="1:11">
      <c r="A12" s="6">
        <v>9988277</v>
      </c>
      <c r="B12" s="7">
        <f t="shared" ca="1" si="0"/>
        <v>68</v>
      </c>
      <c r="C12" s="7">
        <f>MATCH(Salary[[#This Row],[ماه]],Calc!$A$16:$A$27,0)</f>
        <v>1</v>
      </c>
      <c r="D12" s="8" t="s">
        <v>86</v>
      </c>
      <c r="E12" s="9">
        <f t="shared" ca="1" si="5"/>
        <v>7295000</v>
      </c>
      <c r="F12" s="9">
        <f ca="1">0.7*E12</f>
        <v>5106500</v>
      </c>
      <c r="G12" s="9">
        <f t="shared" ca="1" si="1"/>
        <v>12401500</v>
      </c>
      <c r="H12" s="9">
        <f t="shared" ca="1" si="2"/>
        <v>1677850</v>
      </c>
      <c r="I12" s="9">
        <f t="shared" ca="1" si="3"/>
        <v>510650.00000000006</v>
      </c>
      <c r="J12" s="22">
        <f ca="1">IF(Salary[[#This Row],[پایه حقوق]]&lt;=5600000,0,(Salary[[#This Row],[پایه حقوق]]-5600000)*0.1)</f>
        <v>169500</v>
      </c>
      <c r="K12" s="10">
        <f t="shared" ca="1" si="4"/>
        <v>11721350</v>
      </c>
    </row>
    <row r="13" spans="1:11">
      <c r="A13" s="6">
        <v>9988371</v>
      </c>
      <c r="B13" s="7">
        <f t="shared" ca="1" si="0"/>
        <v>42</v>
      </c>
      <c r="C13" s="7">
        <f>MATCH(Salary[[#This Row],[ماه]],Calc!$A$16:$A$27,0)</f>
        <v>1</v>
      </c>
      <c r="D13" s="8" t="s">
        <v>86</v>
      </c>
      <c r="E13" s="9">
        <f t="shared" ca="1" si="5"/>
        <v>13805000</v>
      </c>
      <c r="F13" s="8"/>
      <c r="G13" s="9">
        <f t="shared" ca="1" si="1"/>
        <v>13805000</v>
      </c>
      <c r="H13" s="9">
        <f t="shared" ca="1" si="2"/>
        <v>3175150</v>
      </c>
      <c r="I13" s="9">
        <f t="shared" ca="1" si="3"/>
        <v>966350.00000000012</v>
      </c>
      <c r="J13" s="22">
        <f ca="1">IF(Salary[[#This Row],[پایه حقوق]]&lt;=5600000,0,(Salary[[#This Row],[پایه حقوق]]-5600000)*0.1)</f>
        <v>820500</v>
      </c>
      <c r="K13" s="10">
        <f t="shared" ca="1" si="4"/>
        <v>12018150</v>
      </c>
    </row>
    <row r="14" spans="1:11">
      <c r="A14" s="6">
        <v>9988393</v>
      </c>
      <c r="B14" s="7">
        <f t="shared" ca="1" si="0"/>
        <v>45</v>
      </c>
      <c r="C14" s="7">
        <f>MATCH(Salary[[#This Row],[ماه]],Calc!$A$16:$A$27,0)</f>
        <v>1</v>
      </c>
      <c r="D14" s="8" t="s">
        <v>86</v>
      </c>
      <c r="E14" s="9">
        <f t="shared" ca="1" si="5"/>
        <v>11238000</v>
      </c>
      <c r="F14" s="8"/>
      <c r="G14" s="9">
        <f t="shared" ca="1" si="1"/>
        <v>11238000</v>
      </c>
      <c r="H14" s="9">
        <f t="shared" ca="1" si="2"/>
        <v>2584740</v>
      </c>
      <c r="I14" s="9">
        <f t="shared" ca="1" si="3"/>
        <v>786660.00000000012</v>
      </c>
      <c r="J14" s="22">
        <f ca="1">IF(Salary[[#This Row],[پایه حقوق]]&lt;=5600000,0,(Salary[[#This Row],[پایه حقوق]]-5600000)*0.1)</f>
        <v>563800</v>
      </c>
      <c r="K14" s="10">
        <f t="shared" ca="1" si="4"/>
        <v>9887540</v>
      </c>
    </row>
    <row r="15" spans="1:11">
      <c r="A15" s="6">
        <v>9988453</v>
      </c>
      <c r="B15" s="7">
        <f t="shared" ca="1" si="0"/>
        <v>70</v>
      </c>
      <c r="C15" s="7">
        <f>MATCH(Salary[[#This Row],[ماه]],Calc!$A$16:$A$27,0)</f>
        <v>1</v>
      </c>
      <c r="D15" s="8" t="s">
        <v>86</v>
      </c>
      <c r="E15" s="9">
        <f t="shared" ca="1" si="5"/>
        <v>8785000</v>
      </c>
      <c r="F15" s="8"/>
      <c r="G15" s="9">
        <f t="shared" ca="1" si="1"/>
        <v>8785000</v>
      </c>
      <c r="H15" s="9">
        <f t="shared" ca="1" si="2"/>
        <v>2020550</v>
      </c>
      <c r="I15" s="9">
        <f t="shared" ca="1" si="3"/>
        <v>614950.00000000012</v>
      </c>
      <c r="J15" s="22">
        <f ca="1">IF(Salary[[#This Row],[پایه حقوق]]&lt;=5600000,0,(Salary[[#This Row],[پایه حقوق]]-5600000)*0.1)</f>
        <v>318500</v>
      </c>
      <c r="K15" s="10">
        <f t="shared" ca="1" si="4"/>
        <v>7851550</v>
      </c>
    </row>
    <row r="16" spans="1:11">
      <c r="A16" s="6">
        <v>9988492</v>
      </c>
      <c r="B16" s="7">
        <f t="shared" ca="1" si="0"/>
        <v>77</v>
      </c>
      <c r="C16" s="7">
        <f>MATCH(Salary[[#This Row],[ماه]],Calc!$A$16:$A$27,0)</f>
        <v>1</v>
      </c>
      <c r="D16" s="8" t="s">
        <v>86</v>
      </c>
      <c r="E16" s="9">
        <f t="shared" ca="1" si="5"/>
        <v>6220000</v>
      </c>
      <c r="F16" s="8"/>
      <c r="G16" s="9">
        <f t="shared" ca="1" si="1"/>
        <v>6220000</v>
      </c>
      <c r="H16" s="9">
        <f t="shared" ca="1" si="2"/>
        <v>1430600</v>
      </c>
      <c r="I16" s="9">
        <f t="shared" ca="1" si="3"/>
        <v>435400.00000000006</v>
      </c>
      <c r="J16" s="22">
        <f ca="1">IF(Salary[[#This Row],[پایه حقوق]]&lt;=5600000,0,(Salary[[#This Row],[پایه حقوق]]-5600000)*0.1)</f>
        <v>62000</v>
      </c>
      <c r="K16" s="10">
        <f t="shared" ca="1" si="4"/>
        <v>5722600</v>
      </c>
    </row>
    <row r="17" spans="1:11">
      <c r="A17" s="6">
        <v>9988572</v>
      </c>
      <c r="B17" s="7">
        <f t="shared" ca="1" si="0"/>
        <v>75</v>
      </c>
      <c r="C17" s="7">
        <f>MATCH(Salary[[#This Row],[ماه]],Calc!$A$16:$A$27,0)</f>
        <v>1</v>
      </c>
      <c r="D17" s="8" t="s">
        <v>86</v>
      </c>
      <c r="E17" s="9">
        <f t="shared" ca="1" si="5"/>
        <v>10269000</v>
      </c>
      <c r="F17" s="8"/>
      <c r="G17" s="9">
        <f t="shared" ca="1" si="1"/>
        <v>10269000</v>
      </c>
      <c r="H17" s="9">
        <f t="shared" ca="1" si="2"/>
        <v>2361870</v>
      </c>
      <c r="I17" s="9">
        <f t="shared" ca="1" si="3"/>
        <v>718830.00000000012</v>
      </c>
      <c r="J17" s="22">
        <f ca="1">IF(Salary[[#This Row],[پایه حقوق]]&lt;=5600000,0,(Salary[[#This Row],[پایه حقوق]]-5600000)*0.1)</f>
        <v>466900</v>
      </c>
      <c r="K17" s="10">
        <f t="shared" ca="1" si="4"/>
        <v>9083270</v>
      </c>
    </row>
    <row r="18" spans="1:11">
      <c r="A18" s="6">
        <v>9988618</v>
      </c>
      <c r="B18" s="7">
        <f t="shared" ca="1" si="0"/>
        <v>61</v>
      </c>
      <c r="C18" s="7">
        <f>MATCH(Salary[[#This Row],[ماه]],Calc!$A$16:$A$27,0)</f>
        <v>1</v>
      </c>
      <c r="D18" s="8" t="s">
        <v>86</v>
      </c>
      <c r="E18" s="9">
        <f t="shared" ca="1" si="5"/>
        <v>3910000</v>
      </c>
      <c r="F18" s="8"/>
      <c r="G18" s="9">
        <f t="shared" ca="1" si="1"/>
        <v>3910000</v>
      </c>
      <c r="H18" s="9">
        <f t="shared" ca="1" si="2"/>
        <v>899300</v>
      </c>
      <c r="I18" s="9">
        <f t="shared" ca="1" si="3"/>
        <v>273700</v>
      </c>
      <c r="J18" s="22">
        <f ca="1">IF(Salary[[#This Row],[پایه حقوق]]&lt;=5600000,0,(Salary[[#This Row],[پایه حقوق]]-5600000)*0.1)</f>
        <v>0</v>
      </c>
      <c r="K18" s="10">
        <f t="shared" ca="1" si="4"/>
        <v>3636300</v>
      </c>
    </row>
    <row r="19" spans="1:11">
      <c r="A19" s="6">
        <v>9988657</v>
      </c>
      <c r="B19" s="7">
        <f t="shared" ca="1" si="0"/>
        <v>55</v>
      </c>
      <c r="C19" s="7">
        <f>MATCH(Salary[[#This Row],[ماه]],Calc!$A$16:$A$27,0)</f>
        <v>1</v>
      </c>
      <c r="D19" s="8" t="s">
        <v>86</v>
      </c>
      <c r="E19" s="9">
        <f t="shared" ca="1" si="5"/>
        <v>10333000</v>
      </c>
      <c r="F19" s="9">
        <f ca="1">0.7*E19</f>
        <v>7233100</v>
      </c>
      <c r="G19" s="9">
        <f t="shared" ca="1" si="1"/>
        <v>17566100</v>
      </c>
      <c r="H19" s="9">
        <f t="shared" ca="1" si="2"/>
        <v>2376590</v>
      </c>
      <c r="I19" s="9">
        <f t="shared" ca="1" si="3"/>
        <v>723310.00000000012</v>
      </c>
      <c r="J19" s="22">
        <f ca="1">IF(Salary[[#This Row],[پایه حقوق]]&lt;=5600000,0,(Salary[[#This Row],[پایه حقوق]]-5600000)*0.1)</f>
        <v>473300</v>
      </c>
      <c r="K19" s="10">
        <f t="shared" ca="1" si="4"/>
        <v>16369490</v>
      </c>
    </row>
    <row r="20" spans="1:11">
      <c r="A20" s="6">
        <v>9988677</v>
      </c>
      <c r="B20" s="7">
        <f t="shared" ca="1" si="0"/>
        <v>50</v>
      </c>
      <c r="C20" s="7">
        <f>MATCH(Salary[[#This Row],[ماه]],Calc!$A$16:$A$27,0)</f>
        <v>1</v>
      </c>
      <c r="D20" s="8" t="s">
        <v>86</v>
      </c>
      <c r="E20" s="9">
        <f t="shared" ca="1" si="5"/>
        <v>11465000</v>
      </c>
      <c r="F20" s="8"/>
      <c r="G20" s="9">
        <f t="shared" ca="1" si="1"/>
        <v>11465000</v>
      </c>
      <c r="H20" s="9">
        <f t="shared" ca="1" si="2"/>
        <v>2636950</v>
      </c>
      <c r="I20" s="9">
        <f t="shared" ca="1" si="3"/>
        <v>802550.00000000012</v>
      </c>
      <c r="J20" s="22">
        <f ca="1">IF(Salary[[#This Row],[پایه حقوق]]&lt;=5600000,0,(Salary[[#This Row],[پایه حقوق]]-5600000)*0.1)</f>
        <v>586500</v>
      </c>
      <c r="K20" s="10">
        <f t="shared" ca="1" si="4"/>
        <v>10075950</v>
      </c>
    </row>
    <row r="21" spans="1:11">
      <c r="A21" s="6">
        <v>9988725</v>
      </c>
      <c r="B21" s="7">
        <f t="shared" ca="1" si="0"/>
        <v>86</v>
      </c>
      <c r="C21" s="7">
        <f>MATCH(Salary[[#This Row],[ماه]],Calc!$A$16:$A$27,0)</f>
        <v>1</v>
      </c>
      <c r="D21" s="8" t="s">
        <v>86</v>
      </c>
      <c r="E21" s="9">
        <f t="shared" ca="1" si="5"/>
        <v>8764000</v>
      </c>
      <c r="F21" s="9">
        <f ca="1">0.7*E21</f>
        <v>6134800</v>
      </c>
      <c r="G21" s="9">
        <f t="shared" ca="1" si="1"/>
        <v>14898800</v>
      </c>
      <c r="H21" s="9">
        <f t="shared" ca="1" si="2"/>
        <v>2015720</v>
      </c>
      <c r="I21" s="9">
        <f t="shared" ca="1" si="3"/>
        <v>613480.00000000012</v>
      </c>
      <c r="J21" s="22">
        <f ca="1">IF(Salary[[#This Row],[پایه حقوق]]&lt;=5600000,0,(Salary[[#This Row],[پایه حقوق]]-5600000)*0.1)</f>
        <v>316400</v>
      </c>
      <c r="K21" s="10">
        <f t="shared" ca="1" si="4"/>
        <v>13968920</v>
      </c>
    </row>
    <row r="22" spans="1:11">
      <c r="A22" s="6">
        <v>9988773</v>
      </c>
      <c r="B22" s="7">
        <f t="shared" ca="1" si="0"/>
        <v>90</v>
      </c>
      <c r="C22" s="7">
        <f>MATCH(Salary[[#This Row],[ماه]],Calc!$A$16:$A$27,0)</f>
        <v>1</v>
      </c>
      <c r="D22" s="8" t="s">
        <v>86</v>
      </c>
      <c r="E22" s="9">
        <f t="shared" ca="1" si="5"/>
        <v>7165000</v>
      </c>
      <c r="F22" s="9"/>
      <c r="G22" s="9">
        <f t="shared" ca="1" si="1"/>
        <v>7165000</v>
      </c>
      <c r="H22" s="9">
        <f t="shared" ca="1" si="2"/>
        <v>1647950</v>
      </c>
      <c r="I22" s="9">
        <f t="shared" ca="1" si="3"/>
        <v>501550.00000000006</v>
      </c>
      <c r="J22" s="22">
        <f ca="1">IF(Salary[[#This Row],[پایه حقوق]]&lt;=5600000,0,(Salary[[#This Row],[پایه حقوق]]-5600000)*0.1)</f>
        <v>156500</v>
      </c>
      <c r="K22" s="10">
        <f t="shared" ca="1" si="4"/>
        <v>6506950</v>
      </c>
    </row>
    <row r="23" spans="1:11">
      <c r="A23" s="6">
        <v>9988821</v>
      </c>
      <c r="B23" s="7">
        <f t="shared" ca="1" si="0"/>
        <v>89</v>
      </c>
      <c r="C23" s="7">
        <f>MATCH(Salary[[#This Row],[ماه]],Calc!$A$16:$A$27,0)</f>
        <v>1</v>
      </c>
      <c r="D23" s="8" t="s">
        <v>86</v>
      </c>
      <c r="E23" s="9">
        <f t="shared" ca="1" si="5"/>
        <v>8725000</v>
      </c>
      <c r="F23" s="9"/>
      <c r="G23" s="9">
        <f t="shared" ca="1" si="1"/>
        <v>8725000</v>
      </c>
      <c r="H23" s="9">
        <f t="shared" ca="1" si="2"/>
        <v>2006750</v>
      </c>
      <c r="I23" s="9">
        <f t="shared" ca="1" si="3"/>
        <v>610750</v>
      </c>
      <c r="J23" s="22">
        <f ca="1">IF(Salary[[#This Row],[پایه حقوق]]&lt;=5600000,0,(Salary[[#This Row],[پایه حقوق]]-5600000)*0.1)</f>
        <v>312500</v>
      </c>
      <c r="K23" s="10">
        <f t="shared" ca="1" si="4"/>
        <v>7801750</v>
      </c>
    </row>
    <row r="24" spans="1:11">
      <c r="A24" s="6">
        <v>9988869</v>
      </c>
      <c r="B24" s="7">
        <f t="shared" ca="1" si="0"/>
        <v>86</v>
      </c>
      <c r="C24" s="7">
        <f>MATCH(Salary[[#This Row],[ماه]],Calc!$A$16:$A$27,0)</f>
        <v>1</v>
      </c>
      <c r="D24" s="8" t="s">
        <v>86</v>
      </c>
      <c r="E24" s="9">
        <f t="shared" ca="1" si="5"/>
        <v>7507000</v>
      </c>
      <c r="F24" s="9"/>
      <c r="G24" s="9">
        <f t="shared" ca="1" si="1"/>
        <v>7507000</v>
      </c>
      <c r="H24" s="9">
        <f t="shared" ca="1" si="2"/>
        <v>1726610</v>
      </c>
      <c r="I24" s="9">
        <f t="shared" ca="1" si="3"/>
        <v>525490</v>
      </c>
      <c r="J24" s="22">
        <f ca="1">IF(Salary[[#This Row],[پایه حقوق]]&lt;=5600000,0,(Salary[[#This Row],[پایه حقوق]]-5600000)*0.1)</f>
        <v>190700</v>
      </c>
      <c r="K24" s="10">
        <f t="shared" ca="1" si="4"/>
        <v>6790810</v>
      </c>
    </row>
    <row r="25" spans="1:11">
      <c r="A25" s="6">
        <v>9988917</v>
      </c>
      <c r="B25" s="7">
        <f t="shared" ca="1" si="0"/>
        <v>78</v>
      </c>
      <c r="C25" s="7">
        <f>MATCH(Salary[[#This Row],[ماه]],Calc!$A$16:$A$27,0)</f>
        <v>1</v>
      </c>
      <c r="D25" s="8" t="s">
        <v>86</v>
      </c>
      <c r="E25" s="9">
        <f t="shared" ca="1" si="5"/>
        <v>10023000</v>
      </c>
      <c r="F25" s="9"/>
      <c r="G25" s="9">
        <f t="shared" ca="1" si="1"/>
        <v>10023000</v>
      </c>
      <c r="H25" s="9">
        <f t="shared" ca="1" si="2"/>
        <v>2305290</v>
      </c>
      <c r="I25" s="9">
        <f t="shared" ca="1" si="3"/>
        <v>701610.00000000012</v>
      </c>
      <c r="J25" s="22">
        <f ca="1">IF(Salary[[#This Row],[پایه حقوق]]&lt;=5600000,0,(Salary[[#This Row],[پایه حقوق]]-5600000)*0.1)</f>
        <v>442300</v>
      </c>
      <c r="K25" s="10">
        <f t="shared" ca="1" si="4"/>
        <v>8879090</v>
      </c>
    </row>
    <row r="26" spans="1:11">
      <c r="A26" s="6">
        <v>9988965</v>
      </c>
      <c r="B26" s="7">
        <f t="shared" ca="1" si="0"/>
        <v>97</v>
      </c>
      <c r="C26" s="7">
        <f>MATCH(Salary[[#This Row],[ماه]],Calc!$A$16:$A$27,0)</f>
        <v>1</v>
      </c>
      <c r="D26" s="8" t="s">
        <v>86</v>
      </c>
      <c r="E26" s="9">
        <f t="shared" ca="1" si="5"/>
        <v>8098000</v>
      </c>
      <c r="F26" s="9"/>
      <c r="G26" s="9">
        <f t="shared" ca="1" si="1"/>
        <v>8098000</v>
      </c>
      <c r="H26" s="9">
        <f t="shared" ca="1" si="2"/>
        <v>1862540</v>
      </c>
      <c r="I26" s="9">
        <f t="shared" ca="1" si="3"/>
        <v>566860</v>
      </c>
      <c r="J26" s="22">
        <f ca="1">IF(Salary[[#This Row],[پایه حقوق]]&lt;=5600000,0,(Salary[[#This Row],[پایه حقوق]]-5600000)*0.1)</f>
        <v>249800</v>
      </c>
      <c r="K26" s="10">
        <f t="shared" ca="1" si="4"/>
        <v>7281340</v>
      </c>
    </row>
    <row r="27" spans="1:11">
      <c r="A27" s="6">
        <v>9989013</v>
      </c>
      <c r="B27" s="7">
        <f t="shared" ca="1" si="0"/>
        <v>51</v>
      </c>
      <c r="C27" s="7">
        <f>MATCH(Salary[[#This Row],[ماه]],Calc!$A$16:$A$27,0)</f>
        <v>1</v>
      </c>
      <c r="D27" s="8" t="s">
        <v>86</v>
      </c>
      <c r="E27" s="9">
        <f t="shared" ca="1" si="5"/>
        <v>7440000</v>
      </c>
      <c r="F27" s="9"/>
      <c r="G27" s="9">
        <f t="shared" ca="1" si="1"/>
        <v>7440000</v>
      </c>
      <c r="H27" s="9">
        <f t="shared" ca="1" si="2"/>
        <v>1711200</v>
      </c>
      <c r="I27" s="9">
        <f t="shared" ca="1" si="3"/>
        <v>520800.00000000006</v>
      </c>
      <c r="J27" s="22">
        <f ca="1">IF(Salary[[#This Row],[پایه حقوق]]&lt;=5600000,0,(Salary[[#This Row],[پایه حقوق]]-5600000)*0.1)</f>
        <v>184000</v>
      </c>
      <c r="K27" s="10">
        <f t="shared" ca="1" si="4"/>
        <v>6735200</v>
      </c>
    </row>
    <row r="28" spans="1:11">
      <c r="A28" s="6">
        <v>9989061</v>
      </c>
      <c r="B28" s="7">
        <f t="shared" ca="1" si="0"/>
        <v>52</v>
      </c>
      <c r="C28" s="7">
        <f>MATCH(Salary[[#This Row],[ماه]],Calc!$A$16:$A$27,0)</f>
        <v>1</v>
      </c>
      <c r="D28" s="8" t="s">
        <v>86</v>
      </c>
      <c r="E28" s="9">
        <f t="shared" ca="1" si="5"/>
        <v>11571000</v>
      </c>
      <c r="F28" s="9"/>
      <c r="G28" s="9">
        <f t="shared" ca="1" si="1"/>
        <v>11571000</v>
      </c>
      <c r="H28" s="9">
        <f t="shared" ca="1" si="2"/>
        <v>2661330</v>
      </c>
      <c r="I28" s="9">
        <f t="shared" ca="1" si="3"/>
        <v>809970.00000000012</v>
      </c>
      <c r="J28" s="22">
        <f ca="1">IF(Salary[[#This Row],[پایه حقوق]]&lt;=5600000,0,(Salary[[#This Row],[پایه حقوق]]-5600000)*0.1)</f>
        <v>597100</v>
      </c>
      <c r="K28" s="10">
        <f t="shared" ca="1" si="4"/>
        <v>10163930</v>
      </c>
    </row>
    <row r="29" spans="1:11">
      <c r="A29" s="6">
        <v>9989109</v>
      </c>
      <c r="B29" s="7">
        <f t="shared" ca="1" si="0"/>
        <v>38</v>
      </c>
      <c r="C29" s="7">
        <f>MATCH(Salary[[#This Row],[ماه]],Calc!$A$16:$A$27,0)</f>
        <v>1</v>
      </c>
      <c r="D29" s="8" t="s">
        <v>86</v>
      </c>
      <c r="E29" s="9">
        <f t="shared" ca="1" si="5"/>
        <v>5432000</v>
      </c>
      <c r="F29" s="9"/>
      <c r="G29" s="9">
        <f t="shared" ca="1" si="1"/>
        <v>5432000</v>
      </c>
      <c r="H29" s="9">
        <f t="shared" ca="1" si="2"/>
        <v>1249360</v>
      </c>
      <c r="I29" s="9">
        <f t="shared" ca="1" si="3"/>
        <v>380240.00000000006</v>
      </c>
      <c r="J29" s="22">
        <f ca="1">IF(Salary[[#This Row],[پایه حقوق]]&lt;=5600000,0,(Salary[[#This Row],[پایه حقوق]]-5600000)*0.1)</f>
        <v>0</v>
      </c>
      <c r="K29" s="10">
        <f t="shared" ca="1" si="4"/>
        <v>5051760</v>
      </c>
    </row>
    <row r="30" spans="1:11">
      <c r="A30" s="6">
        <v>9989157</v>
      </c>
      <c r="B30" s="7">
        <f t="shared" ca="1" si="0"/>
        <v>55</v>
      </c>
      <c r="C30" s="7">
        <f>MATCH(Salary[[#This Row],[ماه]],Calc!$A$16:$A$27,0)</f>
        <v>1</v>
      </c>
      <c r="D30" s="8" t="s">
        <v>86</v>
      </c>
      <c r="E30" s="9">
        <f t="shared" ca="1" si="5"/>
        <v>10325000</v>
      </c>
      <c r="F30" s="9"/>
      <c r="G30" s="9">
        <f t="shared" ca="1" si="1"/>
        <v>10325000</v>
      </c>
      <c r="H30" s="9">
        <f t="shared" ca="1" si="2"/>
        <v>2374750</v>
      </c>
      <c r="I30" s="9">
        <f t="shared" ca="1" si="3"/>
        <v>722750.00000000012</v>
      </c>
      <c r="J30" s="22">
        <f ca="1">IF(Salary[[#This Row],[پایه حقوق]]&lt;=5600000,0,(Salary[[#This Row],[پایه حقوق]]-5600000)*0.1)</f>
        <v>472500</v>
      </c>
      <c r="K30" s="10">
        <f t="shared" ca="1" si="4"/>
        <v>9129750</v>
      </c>
    </row>
    <row r="31" spans="1:11">
      <c r="A31" s="6">
        <v>9989205</v>
      </c>
      <c r="B31" s="7">
        <f t="shared" ca="1" si="0"/>
        <v>61</v>
      </c>
      <c r="C31" s="7">
        <f>MATCH(Salary[[#This Row],[ماه]],Calc!$A$16:$A$27,0)</f>
        <v>1</v>
      </c>
      <c r="D31" s="8" t="s">
        <v>86</v>
      </c>
      <c r="E31" s="9">
        <f t="shared" ca="1" si="5"/>
        <v>14785000</v>
      </c>
      <c r="F31" s="9"/>
      <c r="G31" s="9">
        <f t="shared" ca="1" si="1"/>
        <v>14785000</v>
      </c>
      <c r="H31" s="9">
        <f t="shared" ca="1" si="2"/>
        <v>3400550</v>
      </c>
      <c r="I31" s="9">
        <f t="shared" ca="1" si="3"/>
        <v>1034950.0000000001</v>
      </c>
      <c r="J31" s="22">
        <f ca="1">IF(Salary[[#This Row],[پایه حقوق]]&lt;=5600000,0,(Salary[[#This Row],[پایه حقوق]]-5600000)*0.1)</f>
        <v>918500</v>
      </c>
      <c r="K31" s="10">
        <f t="shared" ca="1" si="4"/>
        <v>12831550</v>
      </c>
    </row>
    <row r="32" spans="1:11">
      <c r="A32" s="6">
        <v>9989253</v>
      </c>
      <c r="B32" s="7">
        <f t="shared" ca="1" si="0"/>
        <v>97</v>
      </c>
      <c r="C32" s="7">
        <f>MATCH(Salary[[#This Row],[ماه]],Calc!$A$16:$A$27,0)</f>
        <v>1</v>
      </c>
      <c r="D32" s="8" t="s">
        <v>86</v>
      </c>
      <c r="E32" s="9">
        <f t="shared" ca="1" si="5"/>
        <v>10871000</v>
      </c>
      <c r="F32" s="9"/>
      <c r="G32" s="9">
        <f t="shared" ca="1" si="1"/>
        <v>10871000</v>
      </c>
      <c r="H32" s="9">
        <f t="shared" ca="1" si="2"/>
        <v>2500330</v>
      </c>
      <c r="I32" s="9">
        <f t="shared" ca="1" si="3"/>
        <v>760970.00000000012</v>
      </c>
      <c r="J32" s="22">
        <f ca="1">IF(Salary[[#This Row],[پایه حقوق]]&lt;=5600000,0,(Salary[[#This Row],[پایه حقوق]]-5600000)*0.1)</f>
        <v>527100</v>
      </c>
      <c r="K32" s="10">
        <f t="shared" ca="1" si="4"/>
        <v>9582930</v>
      </c>
    </row>
    <row r="33" spans="1:11">
      <c r="A33" s="6">
        <v>9989301</v>
      </c>
      <c r="B33" s="7">
        <f t="shared" ca="1" si="0"/>
        <v>89</v>
      </c>
      <c r="C33" s="7">
        <f>MATCH(Salary[[#This Row],[ماه]],Calc!$A$16:$A$27,0)</f>
        <v>1</v>
      </c>
      <c r="D33" s="8" t="s">
        <v>86</v>
      </c>
      <c r="E33" s="9">
        <f t="shared" ca="1" si="5"/>
        <v>4066000</v>
      </c>
      <c r="F33" s="9"/>
      <c r="G33" s="9">
        <f t="shared" ca="1" si="1"/>
        <v>4066000</v>
      </c>
      <c r="H33" s="9">
        <f t="shared" ca="1" si="2"/>
        <v>935180</v>
      </c>
      <c r="I33" s="9">
        <f t="shared" ca="1" si="3"/>
        <v>284620</v>
      </c>
      <c r="J33" s="22">
        <f ca="1">IF(Salary[[#This Row],[پایه حقوق]]&lt;=5600000,0,(Salary[[#This Row],[پایه حقوق]]-5600000)*0.1)</f>
        <v>0</v>
      </c>
      <c r="K33" s="10">
        <f t="shared" ca="1" si="4"/>
        <v>3781380</v>
      </c>
    </row>
    <row r="34" spans="1:11">
      <c r="A34" s="6">
        <v>9989349</v>
      </c>
      <c r="B34" s="7">
        <f t="shared" ca="1" si="0"/>
        <v>78</v>
      </c>
      <c r="C34" s="7">
        <f>MATCH(Salary[[#This Row],[ماه]],Calc!$A$16:$A$27,0)</f>
        <v>1</v>
      </c>
      <c r="D34" s="8" t="s">
        <v>86</v>
      </c>
      <c r="E34" s="9">
        <f t="shared" ca="1" si="5"/>
        <v>8696000</v>
      </c>
      <c r="F34" s="9"/>
      <c r="G34" s="9">
        <f t="shared" ca="1" si="1"/>
        <v>8696000</v>
      </c>
      <c r="H34" s="9">
        <f t="shared" ca="1" si="2"/>
        <v>2000080</v>
      </c>
      <c r="I34" s="9">
        <f t="shared" ca="1" si="3"/>
        <v>608720</v>
      </c>
      <c r="J34" s="22">
        <f ca="1">IF(Salary[[#This Row],[پایه حقوق]]&lt;=5600000,0,(Salary[[#This Row],[پایه حقوق]]-5600000)*0.1)</f>
        <v>309600</v>
      </c>
      <c r="K34" s="10">
        <f t="shared" ca="1" si="4"/>
        <v>7777680</v>
      </c>
    </row>
    <row r="35" spans="1:11">
      <c r="A35" s="6">
        <v>9989397</v>
      </c>
      <c r="B35" s="7">
        <f t="shared" ca="1" si="0"/>
        <v>86</v>
      </c>
      <c r="C35" s="7">
        <f>MATCH(Salary[[#This Row],[ماه]],Calc!$A$16:$A$27,0)</f>
        <v>1</v>
      </c>
      <c r="D35" s="8" t="s">
        <v>86</v>
      </c>
      <c r="E35" s="9">
        <f t="shared" ca="1" si="5"/>
        <v>3340000</v>
      </c>
      <c r="F35" s="9"/>
      <c r="G35" s="9">
        <f t="shared" ca="1" si="1"/>
        <v>3340000</v>
      </c>
      <c r="H35" s="9">
        <f t="shared" ca="1" si="2"/>
        <v>768200</v>
      </c>
      <c r="I35" s="9">
        <f t="shared" ca="1" si="3"/>
        <v>233800.00000000003</v>
      </c>
      <c r="J35" s="22">
        <f ca="1">IF(Salary[[#This Row],[پایه حقوق]]&lt;=5600000,0,(Salary[[#This Row],[پایه حقوق]]-5600000)*0.1)</f>
        <v>0</v>
      </c>
      <c r="K35" s="10">
        <f t="shared" ca="1" si="4"/>
        <v>3106200</v>
      </c>
    </row>
    <row r="36" spans="1:11">
      <c r="A36" s="6">
        <v>9989445</v>
      </c>
      <c r="B36" s="7">
        <f t="shared" ca="1" si="0"/>
        <v>71</v>
      </c>
      <c r="C36" s="7">
        <f>MATCH(Salary[[#This Row],[ماه]],Calc!$A$16:$A$27,0)</f>
        <v>1</v>
      </c>
      <c r="D36" s="8" t="s">
        <v>86</v>
      </c>
      <c r="E36" s="9">
        <f t="shared" ca="1" si="5"/>
        <v>6206000</v>
      </c>
      <c r="F36" s="9"/>
      <c r="G36" s="9">
        <f t="shared" ca="1" si="1"/>
        <v>6206000</v>
      </c>
      <c r="H36" s="9">
        <f t="shared" ca="1" si="2"/>
        <v>1427380</v>
      </c>
      <c r="I36" s="9">
        <f t="shared" ca="1" si="3"/>
        <v>434420.00000000006</v>
      </c>
      <c r="J36" s="22">
        <f ca="1">IF(Salary[[#This Row],[پایه حقوق]]&lt;=5600000,0,(Salary[[#This Row],[پایه حقوق]]-5600000)*0.1)</f>
        <v>60600</v>
      </c>
      <c r="K36" s="10">
        <f t="shared" ca="1" si="4"/>
        <v>5710980</v>
      </c>
    </row>
    <row r="37" spans="1:11">
      <c r="A37" s="6">
        <v>9989493</v>
      </c>
      <c r="B37" s="7">
        <f t="shared" ca="1" si="0"/>
        <v>53</v>
      </c>
      <c r="C37" s="7">
        <f>MATCH(Salary[[#This Row],[ماه]],Calc!$A$16:$A$27,0)</f>
        <v>1</v>
      </c>
      <c r="D37" s="8" t="s">
        <v>86</v>
      </c>
      <c r="E37" s="9">
        <f t="shared" ca="1" si="5"/>
        <v>11837000</v>
      </c>
      <c r="F37" s="9"/>
      <c r="G37" s="9">
        <f t="shared" ca="1" si="1"/>
        <v>11837000</v>
      </c>
      <c r="H37" s="9">
        <f t="shared" ca="1" si="2"/>
        <v>2722510</v>
      </c>
      <c r="I37" s="9">
        <f t="shared" ca="1" si="3"/>
        <v>828590.00000000012</v>
      </c>
      <c r="J37" s="22">
        <f ca="1">IF(Salary[[#This Row],[پایه حقوق]]&lt;=5600000,0,(Salary[[#This Row],[پایه حقوق]]-5600000)*0.1)</f>
        <v>623700</v>
      </c>
      <c r="K37" s="10">
        <f t="shared" ca="1" si="4"/>
        <v>10384710</v>
      </c>
    </row>
    <row r="38" spans="1:11">
      <c r="A38" s="6">
        <v>9989541</v>
      </c>
      <c r="B38" s="7">
        <f t="shared" ca="1" si="0"/>
        <v>74</v>
      </c>
      <c r="C38" s="7">
        <f>MATCH(Salary[[#This Row],[ماه]],Calc!$A$16:$A$27,0)</f>
        <v>1</v>
      </c>
      <c r="D38" s="8" t="s">
        <v>86</v>
      </c>
      <c r="E38" s="9">
        <f t="shared" ca="1" si="5"/>
        <v>12336000</v>
      </c>
      <c r="F38" s="9"/>
      <c r="G38" s="9">
        <f t="shared" ca="1" si="1"/>
        <v>12336000</v>
      </c>
      <c r="H38" s="9">
        <f t="shared" ca="1" si="2"/>
        <v>2837280</v>
      </c>
      <c r="I38" s="9">
        <f t="shared" ca="1" si="3"/>
        <v>863520.00000000012</v>
      </c>
      <c r="J38" s="22">
        <f ca="1">IF(Salary[[#This Row],[پایه حقوق]]&lt;=5600000,0,(Salary[[#This Row],[پایه حقوق]]-5600000)*0.1)</f>
        <v>673600</v>
      </c>
      <c r="K38" s="10">
        <f t="shared" ca="1" si="4"/>
        <v>10798880</v>
      </c>
    </row>
    <row r="39" spans="1:11">
      <c r="A39" s="6">
        <v>9989589</v>
      </c>
      <c r="B39" s="7">
        <f t="shared" ca="1" si="0"/>
        <v>88</v>
      </c>
      <c r="C39" s="7">
        <f>MATCH(Salary[[#This Row],[ماه]],Calc!$A$16:$A$27,0)</f>
        <v>1</v>
      </c>
      <c r="D39" s="8" t="s">
        <v>86</v>
      </c>
      <c r="E39" s="9">
        <f t="shared" ca="1" si="5"/>
        <v>12364000</v>
      </c>
      <c r="F39" s="9"/>
      <c r="G39" s="9">
        <f t="shared" ca="1" si="1"/>
        <v>12364000</v>
      </c>
      <c r="H39" s="9">
        <f t="shared" ca="1" si="2"/>
        <v>2843720</v>
      </c>
      <c r="I39" s="9">
        <f t="shared" ca="1" si="3"/>
        <v>865480.00000000012</v>
      </c>
      <c r="J39" s="22">
        <f ca="1">IF(Salary[[#This Row],[پایه حقوق]]&lt;=5600000,0,(Salary[[#This Row],[پایه حقوق]]-5600000)*0.1)</f>
        <v>676400</v>
      </c>
      <c r="K39" s="10">
        <f t="shared" ca="1" si="4"/>
        <v>10822120</v>
      </c>
    </row>
    <row r="40" spans="1:11">
      <c r="A40" s="6">
        <v>9989637</v>
      </c>
      <c r="B40" s="7">
        <f t="shared" ca="1" si="0"/>
        <v>83</v>
      </c>
      <c r="C40" s="7">
        <f>MATCH(Salary[[#This Row],[ماه]],Calc!$A$16:$A$27,0)</f>
        <v>1</v>
      </c>
      <c r="D40" s="8" t="s">
        <v>86</v>
      </c>
      <c r="E40" s="9">
        <f t="shared" ca="1" si="5"/>
        <v>13515000</v>
      </c>
      <c r="F40" s="9"/>
      <c r="G40" s="9">
        <f t="shared" ca="1" si="1"/>
        <v>13515000</v>
      </c>
      <c r="H40" s="9">
        <f t="shared" ca="1" si="2"/>
        <v>3108450</v>
      </c>
      <c r="I40" s="9">
        <f t="shared" ca="1" si="3"/>
        <v>946050.00000000012</v>
      </c>
      <c r="J40" s="22">
        <f ca="1">IF(Salary[[#This Row],[پایه حقوق]]&lt;=5600000,0,(Salary[[#This Row],[پایه حقوق]]-5600000)*0.1)</f>
        <v>791500</v>
      </c>
      <c r="K40" s="10">
        <f t="shared" ca="1" si="4"/>
        <v>11777450</v>
      </c>
    </row>
    <row r="41" spans="1:11">
      <c r="A41" s="6">
        <v>9989685</v>
      </c>
      <c r="B41" s="7">
        <f t="shared" ca="1" si="0"/>
        <v>37</v>
      </c>
      <c r="C41" s="7">
        <f>MATCH(Salary[[#This Row],[ماه]],Calc!$A$16:$A$27,0)</f>
        <v>1</v>
      </c>
      <c r="D41" s="8" t="s">
        <v>86</v>
      </c>
      <c r="E41" s="9">
        <f t="shared" ca="1" si="5"/>
        <v>14498000</v>
      </c>
      <c r="F41" s="9"/>
      <c r="G41" s="9">
        <f t="shared" ca="1" si="1"/>
        <v>14498000</v>
      </c>
      <c r="H41" s="9">
        <f t="shared" ca="1" si="2"/>
        <v>3334540</v>
      </c>
      <c r="I41" s="9">
        <f t="shared" ca="1" si="3"/>
        <v>1014860.0000000001</v>
      </c>
      <c r="J41" s="22">
        <f ca="1">IF(Salary[[#This Row],[پایه حقوق]]&lt;=5600000,0,(Salary[[#This Row],[پایه حقوق]]-5600000)*0.1)</f>
        <v>889800</v>
      </c>
      <c r="K41" s="10">
        <f t="shared" ca="1" si="4"/>
        <v>12593340</v>
      </c>
    </row>
    <row r="42" spans="1:11">
      <c r="A42" s="6">
        <v>9989733</v>
      </c>
      <c r="B42" s="7">
        <f t="shared" ca="1" si="0"/>
        <v>35</v>
      </c>
      <c r="C42" s="7">
        <f>MATCH(Salary[[#This Row],[ماه]],Calc!$A$16:$A$27,0)</f>
        <v>1</v>
      </c>
      <c r="D42" s="8" t="s">
        <v>86</v>
      </c>
      <c r="E42" s="9">
        <f t="shared" ca="1" si="5"/>
        <v>7652000</v>
      </c>
      <c r="F42" s="9"/>
      <c r="G42" s="9">
        <f t="shared" ca="1" si="1"/>
        <v>7652000</v>
      </c>
      <c r="H42" s="9">
        <f t="shared" ca="1" si="2"/>
        <v>1759960</v>
      </c>
      <c r="I42" s="9">
        <f t="shared" ca="1" si="3"/>
        <v>535640</v>
      </c>
      <c r="J42" s="22">
        <f ca="1">IF(Salary[[#This Row],[پایه حقوق]]&lt;=5600000,0,(Salary[[#This Row],[پایه حقوق]]-5600000)*0.1)</f>
        <v>205200</v>
      </c>
      <c r="K42" s="10">
        <f t="shared" ca="1" si="4"/>
        <v>6911160</v>
      </c>
    </row>
    <row r="43" spans="1:11">
      <c r="A43" s="6">
        <v>9989781</v>
      </c>
      <c r="B43" s="7">
        <f t="shared" ca="1" si="0"/>
        <v>38</v>
      </c>
      <c r="C43" s="7">
        <f>MATCH(Salary[[#This Row],[ماه]],Calc!$A$16:$A$27,0)</f>
        <v>1</v>
      </c>
      <c r="D43" s="8" t="s">
        <v>86</v>
      </c>
      <c r="E43" s="9">
        <f t="shared" ca="1" si="5"/>
        <v>11717000</v>
      </c>
      <c r="F43" s="9"/>
      <c r="G43" s="9">
        <f t="shared" ca="1" si="1"/>
        <v>11717000</v>
      </c>
      <c r="H43" s="9">
        <f t="shared" ca="1" si="2"/>
        <v>2694910</v>
      </c>
      <c r="I43" s="9">
        <f t="shared" ca="1" si="3"/>
        <v>820190.00000000012</v>
      </c>
      <c r="J43" s="22">
        <f ca="1">IF(Salary[[#This Row],[پایه حقوق]]&lt;=5600000,0,(Salary[[#This Row],[پایه حقوق]]-5600000)*0.1)</f>
        <v>611700</v>
      </c>
      <c r="K43" s="10">
        <f t="shared" ca="1" si="4"/>
        <v>10285110</v>
      </c>
    </row>
    <row r="44" spans="1:11">
      <c r="A44" s="6">
        <v>9989829</v>
      </c>
      <c r="B44" s="7">
        <f t="shared" ca="1" si="0"/>
        <v>36</v>
      </c>
      <c r="C44" s="7">
        <f>MATCH(Salary[[#This Row],[ماه]],Calc!$A$16:$A$27,0)</f>
        <v>1</v>
      </c>
      <c r="D44" s="8" t="s">
        <v>86</v>
      </c>
      <c r="E44" s="9">
        <f t="shared" ca="1" si="5"/>
        <v>3555000</v>
      </c>
      <c r="F44" s="9"/>
      <c r="G44" s="9">
        <f t="shared" ca="1" si="1"/>
        <v>3555000</v>
      </c>
      <c r="H44" s="9">
        <f t="shared" ca="1" si="2"/>
        <v>817650</v>
      </c>
      <c r="I44" s="9">
        <f t="shared" ca="1" si="3"/>
        <v>248850.00000000003</v>
      </c>
      <c r="J44" s="22">
        <f ca="1">IF(Salary[[#This Row],[پایه حقوق]]&lt;=5600000,0,(Salary[[#This Row],[پایه حقوق]]-5600000)*0.1)</f>
        <v>0</v>
      </c>
      <c r="K44" s="10">
        <f t="shared" ca="1" si="4"/>
        <v>3306150</v>
      </c>
    </row>
    <row r="45" spans="1:11">
      <c r="A45" s="6">
        <v>9989877</v>
      </c>
      <c r="B45" s="7">
        <f t="shared" ca="1" si="0"/>
        <v>95</v>
      </c>
      <c r="C45" s="7">
        <f>MATCH(Salary[[#This Row],[ماه]],Calc!$A$16:$A$27,0)</f>
        <v>1</v>
      </c>
      <c r="D45" s="8" t="s">
        <v>86</v>
      </c>
      <c r="E45" s="9">
        <f t="shared" ca="1" si="5"/>
        <v>14466000</v>
      </c>
      <c r="F45" s="9"/>
      <c r="G45" s="9">
        <f t="shared" ca="1" si="1"/>
        <v>14466000</v>
      </c>
      <c r="H45" s="9">
        <f t="shared" ca="1" si="2"/>
        <v>3327180</v>
      </c>
      <c r="I45" s="9">
        <f t="shared" ca="1" si="3"/>
        <v>1012620.0000000001</v>
      </c>
      <c r="J45" s="22">
        <f ca="1">IF(Salary[[#This Row],[پایه حقوق]]&lt;=5600000,0,(Salary[[#This Row],[پایه حقوق]]-5600000)*0.1)</f>
        <v>886600</v>
      </c>
      <c r="K45" s="10">
        <f t="shared" ca="1" si="4"/>
        <v>12566780</v>
      </c>
    </row>
    <row r="46" spans="1:11">
      <c r="A46" s="6">
        <v>9989925</v>
      </c>
      <c r="B46" s="7">
        <f t="shared" ca="1" si="0"/>
        <v>77</v>
      </c>
      <c r="C46" s="7">
        <f>MATCH(Salary[[#This Row],[ماه]],Calc!$A$16:$A$27,0)</f>
        <v>1</v>
      </c>
      <c r="D46" s="8" t="s">
        <v>86</v>
      </c>
      <c r="E46" s="9">
        <f t="shared" ca="1" si="5"/>
        <v>9873000</v>
      </c>
      <c r="F46" s="9"/>
      <c r="G46" s="9">
        <f t="shared" ca="1" si="1"/>
        <v>9873000</v>
      </c>
      <c r="H46" s="9">
        <f t="shared" ca="1" si="2"/>
        <v>2270790</v>
      </c>
      <c r="I46" s="9">
        <f t="shared" ca="1" si="3"/>
        <v>691110.00000000012</v>
      </c>
      <c r="J46" s="22">
        <f ca="1">IF(Salary[[#This Row],[پایه حقوق]]&lt;=5600000,0,(Salary[[#This Row],[پایه حقوق]]-5600000)*0.1)</f>
        <v>427300</v>
      </c>
      <c r="K46" s="10">
        <f t="shared" ca="1" si="4"/>
        <v>8754590</v>
      </c>
    </row>
    <row r="47" spans="1:11">
      <c r="A47" s="6">
        <v>9989973</v>
      </c>
      <c r="B47" s="7">
        <f t="shared" ca="1" si="0"/>
        <v>85</v>
      </c>
      <c r="C47" s="7">
        <f>MATCH(Salary[[#This Row],[ماه]],Calc!$A$16:$A$27,0)</f>
        <v>1</v>
      </c>
      <c r="D47" s="8" t="s">
        <v>86</v>
      </c>
      <c r="E47" s="9">
        <f t="shared" ca="1" si="5"/>
        <v>12524000</v>
      </c>
      <c r="F47" s="9"/>
      <c r="G47" s="9">
        <f t="shared" ca="1" si="1"/>
        <v>12524000</v>
      </c>
      <c r="H47" s="9">
        <f t="shared" ca="1" si="2"/>
        <v>2880520</v>
      </c>
      <c r="I47" s="9">
        <f t="shared" ca="1" si="3"/>
        <v>876680.00000000012</v>
      </c>
      <c r="J47" s="22">
        <f ca="1">IF(Salary[[#This Row],[پایه حقوق]]&lt;=5600000,0,(Salary[[#This Row],[پایه حقوق]]-5600000)*0.1)</f>
        <v>692400</v>
      </c>
      <c r="K47" s="10">
        <f t="shared" ca="1" si="4"/>
        <v>10954920</v>
      </c>
    </row>
    <row r="48" spans="1:11">
      <c r="A48" s="6">
        <v>9990021</v>
      </c>
      <c r="B48" s="7">
        <f t="shared" ca="1" si="0"/>
        <v>56</v>
      </c>
      <c r="C48" s="7">
        <f>MATCH(Salary[[#This Row],[ماه]],Calc!$A$16:$A$27,0)</f>
        <v>1</v>
      </c>
      <c r="D48" s="8" t="s">
        <v>86</v>
      </c>
      <c r="E48" s="9">
        <f t="shared" ca="1" si="5"/>
        <v>7736000</v>
      </c>
      <c r="F48" s="9"/>
      <c r="G48" s="9">
        <f t="shared" ca="1" si="1"/>
        <v>7736000</v>
      </c>
      <c r="H48" s="9">
        <f t="shared" ca="1" si="2"/>
        <v>1779280</v>
      </c>
      <c r="I48" s="9">
        <f t="shared" ca="1" si="3"/>
        <v>541520</v>
      </c>
      <c r="J48" s="22">
        <f ca="1">IF(Salary[[#This Row],[پایه حقوق]]&lt;=5600000,0,(Salary[[#This Row],[پایه حقوق]]-5600000)*0.1)</f>
        <v>213600</v>
      </c>
      <c r="K48" s="10">
        <f t="shared" ca="1" si="4"/>
        <v>6980880</v>
      </c>
    </row>
    <row r="49" spans="1:11">
      <c r="A49" s="6">
        <v>9990069</v>
      </c>
      <c r="B49" s="7">
        <f t="shared" ca="1" si="0"/>
        <v>79</v>
      </c>
      <c r="C49" s="7">
        <f>MATCH(Salary[[#This Row],[ماه]],Calc!$A$16:$A$27,0)</f>
        <v>1</v>
      </c>
      <c r="D49" s="8" t="s">
        <v>86</v>
      </c>
      <c r="E49" s="9">
        <f t="shared" ca="1" si="5"/>
        <v>4022000</v>
      </c>
      <c r="F49" s="9"/>
      <c r="G49" s="9">
        <f t="shared" ca="1" si="1"/>
        <v>4022000</v>
      </c>
      <c r="H49" s="9">
        <f t="shared" ca="1" si="2"/>
        <v>925060</v>
      </c>
      <c r="I49" s="9">
        <f t="shared" ca="1" si="3"/>
        <v>281540</v>
      </c>
      <c r="J49" s="22">
        <f ca="1">IF(Salary[[#This Row],[پایه حقوق]]&lt;=5600000,0,(Salary[[#This Row],[پایه حقوق]]-5600000)*0.1)</f>
        <v>0</v>
      </c>
      <c r="K49" s="10">
        <f t="shared" ca="1" si="4"/>
        <v>3740460</v>
      </c>
    </row>
    <row r="50" spans="1:11">
      <c r="A50" s="6">
        <v>9990117</v>
      </c>
      <c r="B50" s="7">
        <f t="shared" ca="1" si="0"/>
        <v>58</v>
      </c>
      <c r="C50" s="7">
        <f>MATCH(Salary[[#This Row],[ماه]],Calc!$A$16:$A$27,0)</f>
        <v>1</v>
      </c>
      <c r="D50" s="8" t="s">
        <v>86</v>
      </c>
      <c r="E50" s="9">
        <f t="shared" ca="1" si="5"/>
        <v>9966000</v>
      </c>
      <c r="F50" s="9"/>
      <c r="G50" s="9">
        <f t="shared" ca="1" si="1"/>
        <v>9966000</v>
      </c>
      <c r="H50" s="9">
        <f t="shared" ca="1" si="2"/>
        <v>2292180</v>
      </c>
      <c r="I50" s="9">
        <f t="shared" ca="1" si="3"/>
        <v>697620.00000000012</v>
      </c>
      <c r="J50" s="22">
        <f ca="1">IF(Salary[[#This Row],[پایه حقوق]]&lt;=5600000,0,(Salary[[#This Row],[پایه حقوق]]-5600000)*0.1)</f>
        <v>436600</v>
      </c>
      <c r="K50" s="10">
        <f t="shared" ca="1" si="4"/>
        <v>8831780</v>
      </c>
    </row>
    <row r="51" spans="1:11">
      <c r="A51" s="6">
        <v>9990165</v>
      </c>
      <c r="B51" s="7">
        <f t="shared" ca="1" si="0"/>
        <v>38</v>
      </c>
      <c r="C51" s="7">
        <f>MATCH(Salary[[#This Row],[ماه]],Calc!$A$16:$A$27,0)</f>
        <v>1</v>
      </c>
      <c r="D51" s="8" t="s">
        <v>86</v>
      </c>
      <c r="E51" s="9">
        <f t="shared" ca="1" si="5"/>
        <v>3433000</v>
      </c>
      <c r="F51" s="9"/>
      <c r="G51" s="9">
        <f t="shared" ca="1" si="1"/>
        <v>3433000</v>
      </c>
      <c r="H51" s="9">
        <f t="shared" ca="1" si="2"/>
        <v>789590</v>
      </c>
      <c r="I51" s="9">
        <f t="shared" ca="1" si="3"/>
        <v>240310.00000000003</v>
      </c>
      <c r="J51" s="22">
        <f ca="1">IF(Salary[[#This Row],[پایه حقوق]]&lt;=5600000,0,(Salary[[#This Row],[پایه حقوق]]-5600000)*0.1)</f>
        <v>0</v>
      </c>
      <c r="K51" s="10">
        <f t="shared" ca="1" si="4"/>
        <v>3192690</v>
      </c>
    </row>
    <row r="52" spans="1:11">
      <c r="A52" s="6">
        <v>9990213</v>
      </c>
      <c r="B52" s="7">
        <f t="shared" ca="1" si="0"/>
        <v>31</v>
      </c>
      <c r="C52" s="7">
        <f>MATCH(Salary[[#This Row],[ماه]],Calc!$A$16:$A$27,0)</f>
        <v>1</v>
      </c>
      <c r="D52" s="8" t="s">
        <v>86</v>
      </c>
      <c r="E52" s="9">
        <f t="shared" ca="1" si="5"/>
        <v>9814000</v>
      </c>
      <c r="F52" s="9"/>
      <c r="G52" s="9">
        <f t="shared" ca="1" si="1"/>
        <v>9814000</v>
      </c>
      <c r="H52" s="9">
        <f t="shared" ca="1" si="2"/>
        <v>2257220</v>
      </c>
      <c r="I52" s="9">
        <f t="shared" ca="1" si="3"/>
        <v>686980.00000000012</v>
      </c>
      <c r="J52" s="22">
        <f ca="1">IF(Salary[[#This Row],[پایه حقوق]]&lt;=5600000,0,(Salary[[#This Row],[پایه حقوق]]-5600000)*0.1)</f>
        <v>421400</v>
      </c>
      <c r="K52" s="10">
        <f t="shared" ca="1" si="4"/>
        <v>8705620</v>
      </c>
    </row>
    <row r="53" spans="1:11">
      <c r="A53" s="6">
        <v>9990261</v>
      </c>
      <c r="B53" s="7">
        <f t="shared" ca="1" si="0"/>
        <v>45</v>
      </c>
      <c r="C53" s="7">
        <f>MATCH(Salary[[#This Row],[ماه]],Calc!$A$16:$A$27,0)</f>
        <v>1</v>
      </c>
      <c r="D53" s="8" t="s">
        <v>86</v>
      </c>
      <c r="E53" s="9">
        <f t="shared" ca="1" si="5"/>
        <v>13170000</v>
      </c>
      <c r="F53" s="9"/>
      <c r="G53" s="9">
        <f t="shared" ca="1" si="1"/>
        <v>13170000</v>
      </c>
      <c r="H53" s="9">
        <f t="shared" ca="1" si="2"/>
        <v>3029100</v>
      </c>
      <c r="I53" s="9">
        <f t="shared" ca="1" si="3"/>
        <v>921900.00000000012</v>
      </c>
      <c r="J53" s="22">
        <f ca="1">IF(Salary[[#This Row],[پایه حقوق]]&lt;=5600000,0,(Salary[[#This Row],[پایه حقوق]]-5600000)*0.1)</f>
        <v>757000</v>
      </c>
      <c r="K53" s="10">
        <f t="shared" ca="1" si="4"/>
        <v>11491100</v>
      </c>
    </row>
    <row r="54" spans="1:11">
      <c r="A54" s="6">
        <v>9990309</v>
      </c>
      <c r="B54" s="7">
        <f t="shared" ca="1" si="0"/>
        <v>70</v>
      </c>
      <c r="C54" s="7">
        <f>MATCH(Salary[[#This Row],[ماه]],Calc!$A$16:$A$27,0)</f>
        <v>1</v>
      </c>
      <c r="D54" s="8" t="s">
        <v>86</v>
      </c>
      <c r="E54" s="9">
        <f t="shared" ca="1" si="5"/>
        <v>3726000</v>
      </c>
      <c r="F54" s="9"/>
      <c r="G54" s="9">
        <f t="shared" ca="1" si="1"/>
        <v>3726000</v>
      </c>
      <c r="H54" s="9">
        <f t="shared" ca="1" si="2"/>
        <v>856980</v>
      </c>
      <c r="I54" s="9">
        <f t="shared" ca="1" si="3"/>
        <v>260820.00000000003</v>
      </c>
      <c r="J54" s="22">
        <f ca="1">IF(Salary[[#This Row],[پایه حقوق]]&lt;=5600000,0,(Salary[[#This Row],[پایه حقوق]]-5600000)*0.1)</f>
        <v>0</v>
      </c>
      <c r="K54" s="10">
        <f t="shared" ca="1" si="4"/>
        <v>3465180</v>
      </c>
    </row>
    <row r="55" spans="1:11">
      <c r="A55" s="6">
        <v>9990357</v>
      </c>
      <c r="B55" s="7">
        <f t="shared" ca="1" si="0"/>
        <v>76</v>
      </c>
      <c r="C55" s="7">
        <f>MATCH(Salary[[#This Row],[ماه]],Calc!$A$16:$A$27,0)</f>
        <v>1</v>
      </c>
      <c r="D55" s="8" t="s">
        <v>86</v>
      </c>
      <c r="E55" s="9">
        <f t="shared" ca="1" si="5"/>
        <v>10718000</v>
      </c>
      <c r="F55" s="9"/>
      <c r="G55" s="9">
        <f t="shared" ca="1" si="1"/>
        <v>10718000</v>
      </c>
      <c r="H55" s="9">
        <f t="shared" ca="1" si="2"/>
        <v>2465140</v>
      </c>
      <c r="I55" s="9">
        <f t="shared" ca="1" si="3"/>
        <v>750260.00000000012</v>
      </c>
      <c r="J55" s="22">
        <f ca="1">IF(Salary[[#This Row],[پایه حقوق]]&lt;=5600000,0,(Salary[[#This Row],[پایه حقوق]]-5600000)*0.1)</f>
        <v>511800</v>
      </c>
      <c r="K55" s="10">
        <f t="shared" ca="1" si="4"/>
        <v>9455940</v>
      </c>
    </row>
    <row r="56" spans="1:11">
      <c r="A56" s="6">
        <v>9990405</v>
      </c>
      <c r="B56" s="7">
        <f t="shared" ca="1" si="0"/>
        <v>83</v>
      </c>
      <c r="C56" s="7">
        <f>MATCH(Salary[[#This Row],[ماه]],Calc!$A$16:$A$27,0)</f>
        <v>1</v>
      </c>
      <c r="D56" s="8" t="s">
        <v>86</v>
      </c>
      <c r="E56" s="9">
        <f t="shared" ca="1" si="5"/>
        <v>12964000</v>
      </c>
      <c r="F56" s="9"/>
      <c r="G56" s="9">
        <f t="shared" ca="1" si="1"/>
        <v>12964000</v>
      </c>
      <c r="H56" s="9">
        <f t="shared" ca="1" si="2"/>
        <v>2981720</v>
      </c>
      <c r="I56" s="9">
        <f t="shared" ca="1" si="3"/>
        <v>907480.00000000012</v>
      </c>
      <c r="J56" s="22">
        <f ca="1">IF(Salary[[#This Row],[پایه حقوق]]&lt;=5600000,0,(Salary[[#This Row],[پایه حقوق]]-5600000)*0.1)</f>
        <v>736400</v>
      </c>
      <c r="K56" s="10">
        <f t="shared" ca="1" si="4"/>
        <v>11320120</v>
      </c>
    </row>
    <row r="57" spans="1:11">
      <c r="A57" s="6">
        <v>9990453</v>
      </c>
      <c r="B57" s="7">
        <f t="shared" ca="1" si="0"/>
        <v>96</v>
      </c>
      <c r="C57" s="7">
        <f>MATCH(Salary[[#This Row],[ماه]],Calc!$A$16:$A$27,0)</f>
        <v>1</v>
      </c>
      <c r="D57" s="8" t="s">
        <v>86</v>
      </c>
      <c r="E57" s="9">
        <f t="shared" ca="1" si="5"/>
        <v>11031000</v>
      </c>
      <c r="F57" s="9"/>
      <c r="G57" s="9">
        <f t="shared" ca="1" si="1"/>
        <v>11031000</v>
      </c>
      <c r="H57" s="9">
        <f t="shared" ca="1" si="2"/>
        <v>2537130</v>
      </c>
      <c r="I57" s="9">
        <f t="shared" ca="1" si="3"/>
        <v>772170.00000000012</v>
      </c>
      <c r="J57" s="22">
        <f ca="1">IF(Salary[[#This Row],[پایه حقوق]]&lt;=5600000,0,(Salary[[#This Row],[پایه حقوق]]-5600000)*0.1)</f>
        <v>543100</v>
      </c>
      <c r="K57" s="10">
        <f t="shared" ca="1" si="4"/>
        <v>9715730</v>
      </c>
    </row>
    <row r="58" spans="1:11">
      <c r="A58" s="6">
        <v>9990501</v>
      </c>
      <c r="B58" s="7">
        <f t="shared" ca="1" si="0"/>
        <v>37</v>
      </c>
      <c r="C58" s="7">
        <f>MATCH(Salary[[#This Row],[ماه]],Calc!$A$16:$A$27,0)</f>
        <v>1</v>
      </c>
      <c r="D58" s="8" t="s">
        <v>86</v>
      </c>
      <c r="E58" s="9">
        <f t="shared" ca="1" si="5"/>
        <v>7351000</v>
      </c>
      <c r="F58" s="9"/>
      <c r="G58" s="9">
        <f t="shared" ca="1" si="1"/>
        <v>7351000</v>
      </c>
      <c r="H58" s="9">
        <f t="shared" ca="1" si="2"/>
        <v>1690730</v>
      </c>
      <c r="I58" s="9">
        <f t="shared" ca="1" si="3"/>
        <v>514570.00000000006</v>
      </c>
      <c r="J58" s="22">
        <f ca="1">IF(Salary[[#This Row],[پایه حقوق]]&lt;=5600000,0,(Salary[[#This Row],[پایه حقوق]]-5600000)*0.1)</f>
        <v>175100</v>
      </c>
      <c r="K58" s="10">
        <f t="shared" ca="1" si="4"/>
        <v>6661330</v>
      </c>
    </row>
    <row r="59" spans="1:11">
      <c r="A59" s="6">
        <v>9990549</v>
      </c>
      <c r="B59" s="7">
        <f t="shared" ca="1" si="0"/>
        <v>50</v>
      </c>
      <c r="C59" s="7">
        <f>MATCH(Salary[[#This Row],[ماه]],Calc!$A$16:$A$27,0)</f>
        <v>1</v>
      </c>
      <c r="D59" s="8" t="s">
        <v>86</v>
      </c>
      <c r="E59" s="9">
        <f t="shared" ca="1" si="5"/>
        <v>4978000</v>
      </c>
      <c r="F59" s="9"/>
      <c r="G59" s="9">
        <f t="shared" ca="1" si="1"/>
        <v>4978000</v>
      </c>
      <c r="H59" s="9">
        <f t="shared" ca="1" si="2"/>
        <v>1144940</v>
      </c>
      <c r="I59" s="9">
        <f t="shared" ca="1" si="3"/>
        <v>348460.00000000006</v>
      </c>
      <c r="J59" s="22">
        <f ca="1">IF(Salary[[#This Row],[پایه حقوق]]&lt;=5600000,0,(Salary[[#This Row],[پایه حقوق]]-5600000)*0.1)</f>
        <v>0</v>
      </c>
      <c r="K59" s="10">
        <f t="shared" ca="1" si="4"/>
        <v>4629540</v>
      </c>
    </row>
    <row r="60" spans="1:11">
      <c r="A60" s="6">
        <v>9990597</v>
      </c>
      <c r="B60" s="7">
        <f t="shared" ca="1" si="0"/>
        <v>76</v>
      </c>
      <c r="C60" s="7">
        <f>MATCH(Salary[[#This Row],[ماه]],Calc!$A$16:$A$27,0)</f>
        <v>1</v>
      </c>
      <c r="D60" s="8" t="s">
        <v>86</v>
      </c>
      <c r="E60" s="9">
        <f t="shared" ca="1" si="5"/>
        <v>10223000</v>
      </c>
      <c r="F60" s="9"/>
      <c r="G60" s="9">
        <f t="shared" ca="1" si="1"/>
        <v>10223000</v>
      </c>
      <c r="H60" s="9">
        <f t="shared" ca="1" si="2"/>
        <v>2351290</v>
      </c>
      <c r="I60" s="9">
        <f t="shared" ca="1" si="3"/>
        <v>715610.00000000012</v>
      </c>
      <c r="J60" s="22">
        <f ca="1">IF(Salary[[#This Row],[پایه حقوق]]&lt;=5600000,0,(Salary[[#This Row],[پایه حقوق]]-5600000)*0.1)</f>
        <v>462300</v>
      </c>
      <c r="K60" s="10">
        <f t="shared" ca="1" si="4"/>
        <v>9045090</v>
      </c>
    </row>
    <row r="61" spans="1:11">
      <c r="A61" s="6">
        <v>9990645</v>
      </c>
      <c r="B61" s="7">
        <f t="shared" ca="1" si="0"/>
        <v>47</v>
      </c>
      <c r="C61" s="7">
        <f>MATCH(Salary[[#This Row],[ماه]],Calc!$A$16:$A$27,0)</f>
        <v>1</v>
      </c>
      <c r="D61" s="8" t="s">
        <v>86</v>
      </c>
      <c r="E61" s="9">
        <f t="shared" ca="1" si="5"/>
        <v>11059000</v>
      </c>
      <c r="F61" s="9"/>
      <c r="G61" s="9">
        <f t="shared" ca="1" si="1"/>
        <v>11059000</v>
      </c>
      <c r="H61" s="9">
        <f t="shared" ca="1" si="2"/>
        <v>2543570</v>
      </c>
      <c r="I61" s="9">
        <f t="shared" ca="1" si="3"/>
        <v>774130.00000000012</v>
      </c>
      <c r="J61" s="22">
        <f ca="1">IF(Salary[[#This Row],[پایه حقوق]]&lt;=5600000,0,(Salary[[#This Row],[پایه حقوق]]-5600000)*0.1)</f>
        <v>545900</v>
      </c>
      <c r="K61" s="10">
        <f t="shared" ca="1" si="4"/>
        <v>9738970</v>
      </c>
    </row>
    <row r="62" spans="1:11">
      <c r="A62" s="6">
        <v>9987656</v>
      </c>
      <c r="B62" s="7">
        <f t="shared" ca="1" si="0"/>
        <v>96</v>
      </c>
      <c r="C62" s="7">
        <f>MATCH(Salary[[#This Row],[ماه]],Calc!$A$16:$A$27,0)</f>
        <v>2</v>
      </c>
      <c r="D62" s="8" t="s">
        <v>87</v>
      </c>
      <c r="E62" s="9">
        <f t="shared" ca="1" si="5"/>
        <v>4571000</v>
      </c>
      <c r="F62" s="9"/>
      <c r="G62" s="9">
        <f t="shared" ca="1" si="1"/>
        <v>4571000</v>
      </c>
      <c r="H62" s="9">
        <f t="shared" ca="1" si="2"/>
        <v>1051330</v>
      </c>
      <c r="I62" s="9">
        <f t="shared" ca="1" si="3"/>
        <v>319970.00000000006</v>
      </c>
      <c r="J62" s="22">
        <f ca="1">IF(Salary[[#This Row],[پایه حقوق]]&lt;=5600000,0,(Salary[[#This Row],[پایه حقوق]]-5600000)*0.1)</f>
        <v>0</v>
      </c>
      <c r="K62" s="10">
        <f t="shared" ca="1" si="4"/>
        <v>4251030</v>
      </c>
    </row>
    <row r="63" spans="1:11">
      <c r="A63" s="6">
        <v>9987728</v>
      </c>
      <c r="B63" s="7">
        <f t="shared" ca="1" si="0"/>
        <v>57</v>
      </c>
      <c r="C63" s="7">
        <f>MATCH(Salary[[#This Row],[ماه]],Calc!$A$16:$A$27,0)</f>
        <v>2</v>
      </c>
      <c r="D63" s="8" t="s">
        <v>87</v>
      </c>
      <c r="E63" s="9">
        <f t="shared" ca="1" si="5"/>
        <v>10618000</v>
      </c>
      <c r="F63" s="8"/>
      <c r="G63" s="9">
        <f t="shared" ca="1" si="1"/>
        <v>10618000</v>
      </c>
      <c r="H63" s="9">
        <f t="shared" ca="1" si="2"/>
        <v>2442140</v>
      </c>
      <c r="I63" s="9">
        <f t="shared" ca="1" si="3"/>
        <v>743260.00000000012</v>
      </c>
      <c r="J63" s="22">
        <f ca="1">IF(Salary[[#This Row],[پایه حقوق]]&lt;=5600000,0,(Salary[[#This Row],[پایه حقوق]]-5600000)*0.1)</f>
        <v>501800</v>
      </c>
      <c r="K63" s="10">
        <f t="shared" ca="1" si="4"/>
        <v>9372940</v>
      </c>
    </row>
    <row r="64" spans="1:11">
      <c r="A64" s="6">
        <v>9987826</v>
      </c>
      <c r="B64" s="7">
        <f t="shared" ca="1" si="0"/>
        <v>44</v>
      </c>
      <c r="C64" s="7">
        <f>MATCH(Salary[[#This Row],[ماه]],Calc!$A$16:$A$27,0)</f>
        <v>2</v>
      </c>
      <c r="D64" s="8" t="s">
        <v>87</v>
      </c>
      <c r="E64" s="9">
        <f t="shared" ca="1" si="5"/>
        <v>7655000</v>
      </c>
      <c r="F64" s="8"/>
      <c r="G64" s="9">
        <f t="shared" ca="1" si="1"/>
        <v>7655000</v>
      </c>
      <c r="H64" s="9">
        <f t="shared" ca="1" si="2"/>
        <v>1760650</v>
      </c>
      <c r="I64" s="9">
        <f t="shared" ca="1" si="3"/>
        <v>535850</v>
      </c>
      <c r="J64" s="22">
        <f ca="1">IF(Salary[[#This Row],[پایه حقوق]]&lt;=5600000,0,(Salary[[#This Row],[پایه حقوق]]-5600000)*0.1)</f>
        <v>205500</v>
      </c>
      <c r="K64" s="10">
        <f t="shared" ca="1" si="4"/>
        <v>6913650</v>
      </c>
    </row>
    <row r="65" spans="1:11">
      <c r="A65" s="6">
        <v>9987915</v>
      </c>
      <c r="B65" s="7">
        <f t="shared" ca="1" si="0"/>
        <v>90</v>
      </c>
      <c r="C65" s="7">
        <f>MATCH(Salary[[#This Row],[ماه]],Calc!$A$16:$A$27,0)</f>
        <v>2</v>
      </c>
      <c r="D65" s="8" t="s">
        <v>87</v>
      </c>
      <c r="E65" s="9">
        <f t="shared" ca="1" si="5"/>
        <v>9683000</v>
      </c>
      <c r="F65" s="9"/>
      <c r="G65" s="9">
        <f t="shared" ca="1" si="1"/>
        <v>9683000</v>
      </c>
      <c r="H65" s="9">
        <f t="shared" ca="1" si="2"/>
        <v>2227090</v>
      </c>
      <c r="I65" s="9">
        <f t="shared" ca="1" si="3"/>
        <v>677810.00000000012</v>
      </c>
      <c r="J65" s="22">
        <f ca="1">IF(Salary[[#This Row],[پایه حقوق]]&lt;=5600000,0,(Salary[[#This Row],[پایه حقوق]]-5600000)*0.1)</f>
        <v>408300</v>
      </c>
      <c r="K65" s="10">
        <f t="shared" ca="1" si="4"/>
        <v>8596890</v>
      </c>
    </row>
    <row r="66" spans="1:11">
      <c r="A66" s="6">
        <v>9987938</v>
      </c>
      <c r="B66" s="7">
        <f t="shared" ref="B66:B129" ca="1" si="6">RANDBETWEEN(30,100)</f>
        <v>44</v>
      </c>
      <c r="C66" s="7">
        <f>MATCH(Salary[[#This Row],[ماه]],Calc!$A$16:$A$27,0)</f>
        <v>2</v>
      </c>
      <c r="D66" s="8" t="s">
        <v>87</v>
      </c>
      <c r="E66" s="9">
        <f t="shared" ca="1" si="5"/>
        <v>12186000</v>
      </c>
      <c r="F66" s="8"/>
      <c r="G66" s="9">
        <f t="shared" ref="G66:G129" ca="1" si="7">E66+F66</f>
        <v>12186000</v>
      </c>
      <c r="H66" s="9">
        <f t="shared" ref="H66:H129" ca="1" si="8">0.23*E66</f>
        <v>2802780</v>
      </c>
      <c r="I66" s="9">
        <f t="shared" ref="I66:I129" ca="1" si="9">0.07*E66</f>
        <v>853020.00000000012</v>
      </c>
      <c r="J66" s="22">
        <f ca="1">IF(Salary[[#This Row],[پایه حقوق]]&lt;=5600000,0,(Salary[[#This Row],[پایه حقوق]]-5600000)*0.1)</f>
        <v>658600</v>
      </c>
      <c r="K66" s="10">
        <f t="shared" ref="K66:K129" ca="1" si="10">G66-I66-J66</f>
        <v>10674380</v>
      </c>
    </row>
    <row r="67" spans="1:11">
      <c r="A67" s="6">
        <v>9988023</v>
      </c>
      <c r="B67" s="7">
        <f t="shared" ca="1" si="6"/>
        <v>77</v>
      </c>
      <c r="C67" s="7">
        <f>MATCH(Salary[[#This Row],[ماه]],Calc!$A$16:$A$27,0)</f>
        <v>2</v>
      </c>
      <c r="D67" s="8" t="s">
        <v>87</v>
      </c>
      <c r="E67" s="9">
        <f t="shared" ref="E67:E130" ca="1" si="11">RANDBETWEEN(3000,15000)*1000</f>
        <v>8333000</v>
      </c>
      <c r="F67" s="8"/>
      <c r="G67" s="9">
        <f t="shared" ca="1" si="7"/>
        <v>8333000</v>
      </c>
      <c r="H67" s="9">
        <f t="shared" ca="1" si="8"/>
        <v>1916590</v>
      </c>
      <c r="I67" s="9">
        <f t="shared" ca="1" si="9"/>
        <v>583310</v>
      </c>
      <c r="J67" s="22">
        <f ca="1">IF(Salary[[#This Row],[پایه حقوق]]&lt;=5600000,0,(Salary[[#This Row],[پایه حقوق]]-5600000)*0.1)</f>
        <v>273300</v>
      </c>
      <c r="K67" s="10">
        <f t="shared" ca="1" si="10"/>
        <v>7476390</v>
      </c>
    </row>
    <row r="68" spans="1:11">
      <c r="A68" s="6">
        <v>9988106</v>
      </c>
      <c r="B68" s="7">
        <f t="shared" ca="1" si="6"/>
        <v>60</v>
      </c>
      <c r="C68" s="7">
        <f>MATCH(Salary[[#This Row],[ماه]],Calc!$A$16:$A$27,0)</f>
        <v>2</v>
      </c>
      <c r="D68" s="8" t="s">
        <v>87</v>
      </c>
      <c r="E68" s="9">
        <f t="shared" ca="1" si="11"/>
        <v>3180000</v>
      </c>
      <c r="F68" s="8"/>
      <c r="G68" s="9">
        <f t="shared" ca="1" si="7"/>
        <v>3180000</v>
      </c>
      <c r="H68" s="9">
        <f t="shared" ca="1" si="8"/>
        <v>731400</v>
      </c>
      <c r="I68" s="9">
        <f t="shared" ca="1" si="9"/>
        <v>222600.00000000003</v>
      </c>
      <c r="J68" s="22">
        <f ca="1">IF(Salary[[#This Row],[پایه حقوق]]&lt;=5600000,0,(Salary[[#This Row],[پایه حقوق]]-5600000)*0.1)</f>
        <v>0</v>
      </c>
      <c r="K68" s="10">
        <f t="shared" ca="1" si="10"/>
        <v>2957400</v>
      </c>
    </row>
    <row r="69" spans="1:11">
      <c r="A69" s="6">
        <v>9988137</v>
      </c>
      <c r="B69" s="7">
        <f t="shared" ca="1" si="6"/>
        <v>46</v>
      </c>
      <c r="C69" s="7">
        <f>MATCH(Salary[[#This Row],[ماه]],Calc!$A$16:$A$27,0)</f>
        <v>2</v>
      </c>
      <c r="D69" s="8" t="s">
        <v>87</v>
      </c>
      <c r="E69" s="9">
        <f t="shared" ca="1" si="11"/>
        <v>10337000</v>
      </c>
      <c r="F69" s="9"/>
      <c r="G69" s="9">
        <f t="shared" ca="1" si="7"/>
        <v>10337000</v>
      </c>
      <c r="H69" s="9">
        <f t="shared" ca="1" si="8"/>
        <v>2377510</v>
      </c>
      <c r="I69" s="9">
        <f t="shared" ca="1" si="9"/>
        <v>723590.00000000012</v>
      </c>
      <c r="J69" s="22">
        <f ca="1">IF(Salary[[#This Row],[پایه حقوق]]&lt;=5600000,0,(Salary[[#This Row],[پایه حقوق]]-5600000)*0.1)</f>
        <v>473700</v>
      </c>
      <c r="K69" s="10">
        <f t="shared" ca="1" si="10"/>
        <v>9139710</v>
      </c>
    </row>
    <row r="70" spans="1:11">
      <c r="A70" s="6">
        <v>9988165</v>
      </c>
      <c r="B70" s="7">
        <f t="shared" ca="1" si="6"/>
        <v>100</v>
      </c>
      <c r="C70" s="7">
        <f>MATCH(Salary[[#This Row],[ماه]],Calc!$A$16:$A$27,0)</f>
        <v>2</v>
      </c>
      <c r="D70" s="8" t="s">
        <v>87</v>
      </c>
      <c r="E70" s="9">
        <f t="shared" ca="1" si="11"/>
        <v>10330000</v>
      </c>
      <c r="F70" s="8"/>
      <c r="G70" s="9">
        <f t="shared" ca="1" si="7"/>
        <v>10330000</v>
      </c>
      <c r="H70" s="9">
        <f t="shared" ca="1" si="8"/>
        <v>2375900</v>
      </c>
      <c r="I70" s="9">
        <f t="shared" ca="1" si="9"/>
        <v>723100.00000000012</v>
      </c>
      <c r="J70" s="22">
        <f ca="1">IF(Salary[[#This Row],[پایه حقوق]]&lt;=5600000,0,(Salary[[#This Row],[پایه حقوق]]-5600000)*0.1)</f>
        <v>473000</v>
      </c>
      <c r="K70" s="10">
        <f t="shared" ca="1" si="10"/>
        <v>9133900</v>
      </c>
    </row>
    <row r="71" spans="1:11">
      <c r="A71" s="6">
        <v>9988236</v>
      </c>
      <c r="B71" s="7">
        <f t="shared" ca="1" si="6"/>
        <v>69</v>
      </c>
      <c r="C71" s="7">
        <f>MATCH(Salary[[#This Row],[ماه]],Calc!$A$16:$A$27,0)</f>
        <v>2</v>
      </c>
      <c r="D71" s="8" t="s">
        <v>87</v>
      </c>
      <c r="E71" s="9">
        <f t="shared" ca="1" si="11"/>
        <v>11423000</v>
      </c>
      <c r="F71" s="9"/>
      <c r="G71" s="9">
        <f t="shared" ca="1" si="7"/>
        <v>11423000</v>
      </c>
      <c r="H71" s="9">
        <f t="shared" ca="1" si="8"/>
        <v>2627290</v>
      </c>
      <c r="I71" s="9">
        <f t="shared" ca="1" si="9"/>
        <v>799610.00000000012</v>
      </c>
      <c r="J71" s="22">
        <f ca="1">IF(Salary[[#This Row],[پایه حقوق]]&lt;=5600000,0,(Salary[[#This Row],[پایه حقوق]]-5600000)*0.1)</f>
        <v>582300</v>
      </c>
      <c r="K71" s="10">
        <f t="shared" ca="1" si="10"/>
        <v>10041090</v>
      </c>
    </row>
    <row r="72" spans="1:11">
      <c r="A72" s="6">
        <v>9988277</v>
      </c>
      <c r="B72" s="7">
        <f t="shared" ca="1" si="6"/>
        <v>100</v>
      </c>
      <c r="C72" s="7">
        <f>MATCH(Salary[[#This Row],[ماه]],Calc!$A$16:$A$27,0)</f>
        <v>2</v>
      </c>
      <c r="D72" s="8" t="s">
        <v>87</v>
      </c>
      <c r="E72" s="9">
        <f t="shared" ca="1" si="11"/>
        <v>4070000</v>
      </c>
      <c r="F72" s="9"/>
      <c r="G72" s="9">
        <f t="shared" ca="1" si="7"/>
        <v>4070000</v>
      </c>
      <c r="H72" s="9">
        <f t="shared" ca="1" si="8"/>
        <v>936100</v>
      </c>
      <c r="I72" s="9">
        <f t="shared" ca="1" si="9"/>
        <v>284900</v>
      </c>
      <c r="J72" s="22">
        <f ca="1">IF(Salary[[#This Row],[پایه حقوق]]&lt;=5600000,0,(Salary[[#This Row],[پایه حقوق]]-5600000)*0.1)</f>
        <v>0</v>
      </c>
      <c r="K72" s="10">
        <f t="shared" ca="1" si="10"/>
        <v>3785100</v>
      </c>
    </row>
    <row r="73" spans="1:11">
      <c r="A73" s="6">
        <v>9988371</v>
      </c>
      <c r="B73" s="7">
        <f t="shared" ca="1" si="6"/>
        <v>81</v>
      </c>
      <c r="C73" s="7">
        <f>MATCH(Salary[[#This Row],[ماه]],Calc!$A$16:$A$27,0)</f>
        <v>2</v>
      </c>
      <c r="D73" s="8" t="s">
        <v>87</v>
      </c>
      <c r="E73" s="9">
        <f t="shared" ca="1" si="11"/>
        <v>11175000</v>
      </c>
      <c r="F73" s="8"/>
      <c r="G73" s="9">
        <f t="shared" ca="1" si="7"/>
        <v>11175000</v>
      </c>
      <c r="H73" s="9">
        <f t="shared" ca="1" si="8"/>
        <v>2570250</v>
      </c>
      <c r="I73" s="9">
        <f t="shared" ca="1" si="9"/>
        <v>782250.00000000012</v>
      </c>
      <c r="J73" s="22">
        <f ca="1">IF(Salary[[#This Row],[پایه حقوق]]&lt;=5600000,0,(Salary[[#This Row],[پایه حقوق]]-5600000)*0.1)</f>
        <v>557500</v>
      </c>
      <c r="K73" s="10">
        <f t="shared" ca="1" si="10"/>
        <v>9835250</v>
      </c>
    </row>
    <row r="74" spans="1:11">
      <c r="A74" s="6">
        <v>9988393</v>
      </c>
      <c r="B74" s="7">
        <f t="shared" ca="1" si="6"/>
        <v>77</v>
      </c>
      <c r="C74" s="7">
        <f>MATCH(Salary[[#This Row],[ماه]],Calc!$A$16:$A$27,0)</f>
        <v>2</v>
      </c>
      <c r="D74" s="8" t="s">
        <v>87</v>
      </c>
      <c r="E74" s="9">
        <f t="shared" ca="1" si="11"/>
        <v>3101000</v>
      </c>
      <c r="F74" s="8"/>
      <c r="G74" s="9">
        <f t="shared" ca="1" si="7"/>
        <v>3101000</v>
      </c>
      <c r="H74" s="9">
        <f t="shared" ca="1" si="8"/>
        <v>713230</v>
      </c>
      <c r="I74" s="9">
        <f t="shared" ca="1" si="9"/>
        <v>217070.00000000003</v>
      </c>
      <c r="J74" s="22">
        <f ca="1">IF(Salary[[#This Row],[پایه حقوق]]&lt;=5600000,0,(Salary[[#This Row],[پایه حقوق]]-5600000)*0.1)</f>
        <v>0</v>
      </c>
      <c r="K74" s="10">
        <f t="shared" ca="1" si="10"/>
        <v>2883930</v>
      </c>
    </row>
    <row r="75" spans="1:11">
      <c r="A75" s="6">
        <v>9988453</v>
      </c>
      <c r="B75" s="7">
        <f t="shared" ca="1" si="6"/>
        <v>35</v>
      </c>
      <c r="C75" s="7">
        <f>MATCH(Salary[[#This Row],[ماه]],Calc!$A$16:$A$27,0)</f>
        <v>2</v>
      </c>
      <c r="D75" s="8" t="s">
        <v>87</v>
      </c>
      <c r="E75" s="9">
        <f t="shared" ca="1" si="11"/>
        <v>10598000</v>
      </c>
      <c r="F75" s="8"/>
      <c r="G75" s="9">
        <f t="shared" ca="1" si="7"/>
        <v>10598000</v>
      </c>
      <c r="H75" s="9">
        <f t="shared" ca="1" si="8"/>
        <v>2437540</v>
      </c>
      <c r="I75" s="9">
        <f t="shared" ca="1" si="9"/>
        <v>741860.00000000012</v>
      </c>
      <c r="J75" s="22">
        <f ca="1">IF(Salary[[#This Row],[پایه حقوق]]&lt;=5600000,0,(Salary[[#This Row],[پایه حقوق]]-5600000)*0.1)</f>
        <v>499800</v>
      </c>
      <c r="K75" s="10">
        <f t="shared" ca="1" si="10"/>
        <v>9356340</v>
      </c>
    </row>
    <row r="76" spans="1:11">
      <c r="A76" s="6">
        <v>9988492</v>
      </c>
      <c r="B76" s="7">
        <f t="shared" ca="1" si="6"/>
        <v>35</v>
      </c>
      <c r="C76" s="7">
        <f>MATCH(Salary[[#This Row],[ماه]],Calc!$A$16:$A$27,0)</f>
        <v>2</v>
      </c>
      <c r="D76" s="8" t="s">
        <v>87</v>
      </c>
      <c r="E76" s="9">
        <f t="shared" ca="1" si="11"/>
        <v>13689000</v>
      </c>
      <c r="F76" s="8"/>
      <c r="G76" s="9">
        <f t="shared" ca="1" si="7"/>
        <v>13689000</v>
      </c>
      <c r="H76" s="9">
        <f t="shared" ca="1" si="8"/>
        <v>3148470</v>
      </c>
      <c r="I76" s="9">
        <f t="shared" ca="1" si="9"/>
        <v>958230.00000000012</v>
      </c>
      <c r="J76" s="22">
        <f ca="1">IF(Salary[[#This Row],[پایه حقوق]]&lt;=5600000,0,(Salary[[#This Row],[پایه حقوق]]-5600000)*0.1)</f>
        <v>808900</v>
      </c>
      <c r="K76" s="10">
        <f t="shared" ca="1" si="10"/>
        <v>11921870</v>
      </c>
    </row>
    <row r="77" spans="1:11">
      <c r="A77" s="6">
        <v>9988572</v>
      </c>
      <c r="B77" s="7">
        <f t="shared" ca="1" si="6"/>
        <v>57</v>
      </c>
      <c r="C77" s="7">
        <f>MATCH(Salary[[#This Row],[ماه]],Calc!$A$16:$A$27,0)</f>
        <v>2</v>
      </c>
      <c r="D77" s="8" t="s">
        <v>87</v>
      </c>
      <c r="E77" s="9">
        <f t="shared" ca="1" si="11"/>
        <v>8517000</v>
      </c>
      <c r="F77" s="8"/>
      <c r="G77" s="9">
        <f t="shared" ca="1" si="7"/>
        <v>8517000</v>
      </c>
      <c r="H77" s="9">
        <f t="shared" ca="1" si="8"/>
        <v>1958910</v>
      </c>
      <c r="I77" s="9">
        <f t="shared" ca="1" si="9"/>
        <v>596190</v>
      </c>
      <c r="J77" s="22">
        <f ca="1">IF(Salary[[#This Row],[پایه حقوق]]&lt;=5600000,0,(Salary[[#This Row],[پایه حقوق]]-5600000)*0.1)</f>
        <v>291700</v>
      </c>
      <c r="K77" s="10">
        <f t="shared" ca="1" si="10"/>
        <v>7629110</v>
      </c>
    </row>
    <row r="78" spans="1:11">
      <c r="A78" s="6">
        <v>9988618</v>
      </c>
      <c r="B78" s="7">
        <f t="shared" ca="1" si="6"/>
        <v>55</v>
      </c>
      <c r="C78" s="7">
        <f>MATCH(Salary[[#This Row],[ماه]],Calc!$A$16:$A$27,0)</f>
        <v>2</v>
      </c>
      <c r="D78" s="8" t="s">
        <v>87</v>
      </c>
      <c r="E78" s="9">
        <f t="shared" ca="1" si="11"/>
        <v>6994000</v>
      </c>
      <c r="F78" s="8"/>
      <c r="G78" s="9">
        <f t="shared" ca="1" si="7"/>
        <v>6994000</v>
      </c>
      <c r="H78" s="9">
        <f t="shared" ca="1" si="8"/>
        <v>1608620</v>
      </c>
      <c r="I78" s="9">
        <f t="shared" ca="1" si="9"/>
        <v>489580.00000000006</v>
      </c>
      <c r="J78" s="22">
        <f ca="1">IF(Salary[[#This Row],[پایه حقوق]]&lt;=5600000,0,(Salary[[#This Row],[پایه حقوق]]-5600000)*0.1)</f>
        <v>139400</v>
      </c>
      <c r="K78" s="10">
        <f t="shared" ca="1" si="10"/>
        <v>6365020</v>
      </c>
    </row>
    <row r="79" spans="1:11">
      <c r="A79" s="6">
        <v>9988657</v>
      </c>
      <c r="B79" s="7">
        <f t="shared" ca="1" si="6"/>
        <v>53</v>
      </c>
      <c r="C79" s="7">
        <f>MATCH(Salary[[#This Row],[ماه]],Calc!$A$16:$A$27,0)</f>
        <v>2</v>
      </c>
      <c r="D79" s="8" t="s">
        <v>87</v>
      </c>
      <c r="E79" s="9">
        <f t="shared" ca="1" si="11"/>
        <v>5512000</v>
      </c>
      <c r="F79" s="9"/>
      <c r="G79" s="9">
        <f t="shared" ca="1" si="7"/>
        <v>5512000</v>
      </c>
      <c r="H79" s="9">
        <f t="shared" ca="1" si="8"/>
        <v>1267760</v>
      </c>
      <c r="I79" s="9">
        <f t="shared" ca="1" si="9"/>
        <v>385840.00000000006</v>
      </c>
      <c r="J79" s="22">
        <f ca="1">IF(Salary[[#This Row],[پایه حقوق]]&lt;=5600000,0,(Salary[[#This Row],[پایه حقوق]]-5600000)*0.1)</f>
        <v>0</v>
      </c>
      <c r="K79" s="10">
        <f t="shared" ca="1" si="10"/>
        <v>5126160</v>
      </c>
    </row>
    <row r="80" spans="1:11">
      <c r="A80" s="6">
        <v>9988677</v>
      </c>
      <c r="B80" s="7">
        <f t="shared" ca="1" si="6"/>
        <v>93</v>
      </c>
      <c r="C80" s="7">
        <f>MATCH(Salary[[#This Row],[ماه]],Calc!$A$16:$A$27,0)</f>
        <v>2</v>
      </c>
      <c r="D80" s="8" t="s">
        <v>87</v>
      </c>
      <c r="E80" s="9">
        <f t="shared" ca="1" si="11"/>
        <v>14573000</v>
      </c>
      <c r="F80" s="8"/>
      <c r="G80" s="9">
        <f t="shared" ca="1" si="7"/>
        <v>14573000</v>
      </c>
      <c r="H80" s="9">
        <f t="shared" ca="1" si="8"/>
        <v>3351790</v>
      </c>
      <c r="I80" s="9">
        <f t="shared" ca="1" si="9"/>
        <v>1020110.0000000001</v>
      </c>
      <c r="J80" s="22">
        <f ca="1">IF(Salary[[#This Row],[پایه حقوق]]&lt;=5600000,0,(Salary[[#This Row],[پایه حقوق]]-5600000)*0.1)</f>
        <v>897300</v>
      </c>
      <c r="K80" s="10">
        <f t="shared" ca="1" si="10"/>
        <v>12655590</v>
      </c>
    </row>
    <row r="81" spans="1:11">
      <c r="A81" s="6">
        <v>9988725</v>
      </c>
      <c r="B81" s="7">
        <f t="shared" ca="1" si="6"/>
        <v>50</v>
      </c>
      <c r="C81" s="7">
        <f>MATCH(Salary[[#This Row],[ماه]],Calc!$A$16:$A$27,0)</f>
        <v>2</v>
      </c>
      <c r="D81" s="8" t="s">
        <v>87</v>
      </c>
      <c r="E81" s="9">
        <f t="shared" ca="1" si="11"/>
        <v>7125000</v>
      </c>
      <c r="F81" s="9"/>
      <c r="G81" s="9">
        <f t="shared" ca="1" si="7"/>
        <v>7125000</v>
      </c>
      <c r="H81" s="9">
        <f t="shared" ca="1" si="8"/>
        <v>1638750</v>
      </c>
      <c r="I81" s="9">
        <f t="shared" ca="1" si="9"/>
        <v>498750.00000000006</v>
      </c>
      <c r="J81" s="22">
        <f ca="1">IF(Salary[[#This Row],[پایه حقوق]]&lt;=5600000,0,(Salary[[#This Row],[پایه حقوق]]-5600000)*0.1)</f>
        <v>152500</v>
      </c>
      <c r="K81" s="10">
        <f t="shared" ca="1" si="10"/>
        <v>6473750</v>
      </c>
    </row>
    <row r="82" spans="1:11">
      <c r="A82" s="6">
        <v>9988773</v>
      </c>
      <c r="B82" s="7">
        <f t="shared" ca="1" si="6"/>
        <v>63</v>
      </c>
      <c r="C82" s="7">
        <f>MATCH(Salary[[#This Row],[ماه]],Calc!$A$16:$A$27,0)</f>
        <v>2</v>
      </c>
      <c r="D82" s="8" t="s">
        <v>87</v>
      </c>
      <c r="E82" s="9">
        <f t="shared" ca="1" si="11"/>
        <v>8354000</v>
      </c>
      <c r="F82" s="9"/>
      <c r="G82" s="9">
        <f t="shared" ca="1" si="7"/>
        <v>8354000</v>
      </c>
      <c r="H82" s="9">
        <f t="shared" ca="1" si="8"/>
        <v>1921420</v>
      </c>
      <c r="I82" s="9">
        <f t="shared" ca="1" si="9"/>
        <v>584780</v>
      </c>
      <c r="J82" s="22">
        <f ca="1">IF(Salary[[#This Row],[پایه حقوق]]&lt;=5600000,0,(Salary[[#This Row],[پایه حقوق]]-5600000)*0.1)</f>
        <v>275400</v>
      </c>
      <c r="K82" s="10">
        <f t="shared" ca="1" si="10"/>
        <v>7493820</v>
      </c>
    </row>
    <row r="83" spans="1:11">
      <c r="A83" s="6">
        <v>9988821</v>
      </c>
      <c r="B83" s="7">
        <f t="shared" ca="1" si="6"/>
        <v>60</v>
      </c>
      <c r="C83" s="7">
        <f>MATCH(Salary[[#This Row],[ماه]],Calc!$A$16:$A$27,0)</f>
        <v>2</v>
      </c>
      <c r="D83" s="8" t="s">
        <v>87</v>
      </c>
      <c r="E83" s="9">
        <f t="shared" ca="1" si="11"/>
        <v>6993000</v>
      </c>
      <c r="F83" s="9"/>
      <c r="G83" s="9">
        <f t="shared" ca="1" si="7"/>
        <v>6993000</v>
      </c>
      <c r="H83" s="9">
        <f t="shared" ca="1" si="8"/>
        <v>1608390</v>
      </c>
      <c r="I83" s="9">
        <f t="shared" ca="1" si="9"/>
        <v>489510.00000000006</v>
      </c>
      <c r="J83" s="22">
        <f ca="1">IF(Salary[[#This Row],[پایه حقوق]]&lt;=5600000,0,(Salary[[#This Row],[پایه حقوق]]-5600000)*0.1)</f>
        <v>139300</v>
      </c>
      <c r="K83" s="10">
        <f t="shared" ca="1" si="10"/>
        <v>6364190</v>
      </c>
    </row>
    <row r="84" spans="1:11">
      <c r="A84" s="6">
        <v>9988869</v>
      </c>
      <c r="B84" s="7">
        <f t="shared" ca="1" si="6"/>
        <v>96</v>
      </c>
      <c r="C84" s="7">
        <f>MATCH(Salary[[#This Row],[ماه]],Calc!$A$16:$A$27,0)</f>
        <v>2</v>
      </c>
      <c r="D84" s="8" t="s">
        <v>87</v>
      </c>
      <c r="E84" s="9">
        <f t="shared" ca="1" si="11"/>
        <v>9261000</v>
      </c>
      <c r="F84" s="9"/>
      <c r="G84" s="9">
        <f t="shared" ca="1" si="7"/>
        <v>9261000</v>
      </c>
      <c r="H84" s="9">
        <f t="shared" ca="1" si="8"/>
        <v>2130030</v>
      </c>
      <c r="I84" s="9">
        <f t="shared" ca="1" si="9"/>
        <v>648270.00000000012</v>
      </c>
      <c r="J84" s="22">
        <f ca="1">IF(Salary[[#This Row],[پایه حقوق]]&lt;=5600000,0,(Salary[[#This Row],[پایه حقوق]]-5600000)*0.1)</f>
        <v>366100</v>
      </c>
      <c r="K84" s="10">
        <f t="shared" ca="1" si="10"/>
        <v>8246630</v>
      </c>
    </row>
    <row r="85" spans="1:11">
      <c r="A85" s="6">
        <v>9988917</v>
      </c>
      <c r="B85" s="7">
        <f t="shared" ca="1" si="6"/>
        <v>58</v>
      </c>
      <c r="C85" s="7">
        <f>MATCH(Salary[[#This Row],[ماه]],Calc!$A$16:$A$27,0)</f>
        <v>2</v>
      </c>
      <c r="D85" s="8" t="s">
        <v>87</v>
      </c>
      <c r="E85" s="9">
        <f t="shared" ca="1" si="11"/>
        <v>11440000</v>
      </c>
      <c r="F85" s="9"/>
      <c r="G85" s="9">
        <f t="shared" ca="1" si="7"/>
        <v>11440000</v>
      </c>
      <c r="H85" s="9">
        <f t="shared" ca="1" si="8"/>
        <v>2631200</v>
      </c>
      <c r="I85" s="9">
        <f t="shared" ca="1" si="9"/>
        <v>800800.00000000012</v>
      </c>
      <c r="J85" s="22">
        <f ca="1">IF(Salary[[#This Row],[پایه حقوق]]&lt;=5600000,0,(Salary[[#This Row],[پایه حقوق]]-5600000)*0.1)</f>
        <v>584000</v>
      </c>
      <c r="K85" s="10">
        <f t="shared" ca="1" si="10"/>
        <v>10055200</v>
      </c>
    </row>
    <row r="86" spans="1:11">
      <c r="A86" s="6">
        <v>9988965</v>
      </c>
      <c r="B86" s="7">
        <f t="shared" ca="1" si="6"/>
        <v>99</v>
      </c>
      <c r="C86" s="7">
        <f>MATCH(Salary[[#This Row],[ماه]],Calc!$A$16:$A$27,0)</f>
        <v>2</v>
      </c>
      <c r="D86" s="8" t="s">
        <v>87</v>
      </c>
      <c r="E86" s="9">
        <f t="shared" ca="1" si="11"/>
        <v>13037000</v>
      </c>
      <c r="F86" s="9"/>
      <c r="G86" s="9">
        <f t="shared" ca="1" si="7"/>
        <v>13037000</v>
      </c>
      <c r="H86" s="9">
        <f t="shared" ca="1" si="8"/>
        <v>2998510</v>
      </c>
      <c r="I86" s="9">
        <f t="shared" ca="1" si="9"/>
        <v>912590.00000000012</v>
      </c>
      <c r="J86" s="22">
        <f ca="1">IF(Salary[[#This Row],[پایه حقوق]]&lt;=5600000,0,(Salary[[#This Row],[پایه حقوق]]-5600000)*0.1)</f>
        <v>743700</v>
      </c>
      <c r="K86" s="10">
        <f t="shared" ca="1" si="10"/>
        <v>11380710</v>
      </c>
    </row>
    <row r="87" spans="1:11">
      <c r="A87" s="6">
        <v>9989013</v>
      </c>
      <c r="B87" s="7">
        <f t="shared" ca="1" si="6"/>
        <v>37</v>
      </c>
      <c r="C87" s="7">
        <f>MATCH(Salary[[#This Row],[ماه]],Calc!$A$16:$A$27,0)</f>
        <v>2</v>
      </c>
      <c r="D87" s="8" t="s">
        <v>87</v>
      </c>
      <c r="E87" s="9">
        <f t="shared" ca="1" si="11"/>
        <v>9378000</v>
      </c>
      <c r="F87" s="9"/>
      <c r="G87" s="9">
        <f t="shared" ca="1" si="7"/>
        <v>9378000</v>
      </c>
      <c r="H87" s="9">
        <f t="shared" ca="1" si="8"/>
        <v>2156940</v>
      </c>
      <c r="I87" s="9">
        <f t="shared" ca="1" si="9"/>
        <v>656460.00000000012</v>
      </c>
      <c r="J87" s="22">
        <f ca="1">IF(Salary[[#This Row],[پایه حقوق]]&lt;=5600000,0,(Salary[[#This Row],[پایه حقوق]]-5600000)*0.1)</f>
        <v>377800</v>
      </c>
      <c r="K87" s="10">
        <f t="shared" ca="1" si="10"/>
        <v>8343740</v>
      </c>
    </row>
    <row r="88" spans="1:11">
      <c r="A88" s="6">
        <v>9989061</v>
      </c>
      <c r="B88" s="7">
        <f t="shared" ca="1" si="6"/>
        <v>48</v>
      </c>
      <c r="C88" s="7">
        <f>MATCH(Salary[[#This Row],[ماه]],Calc!$A$16:$A$27,0)</f>
        <v>2</v>
      </c>
      <c r="D88" s="8" t="s">
        <v>87</v>
      </c>
      <c r="E88" s="9">
        <f t="shared" ca="1" si="11"/>
        <v>10261000</v>
      </c>
      <c r="F88" s="9"/>
      <c r="G88" s="9">
        <f t="shared" ca="1" si="7"/>
        <v>10261000</v>
      </c>
      <c r="H88" s="9">
        <f t="shared" ca="1" si="8"/>
        <v>2360030</v>
      </c>
      <c r="I88" s="9">
        <f t="shared" ca="1" si="9"/>
        <v>718270.00000000012</v>
      </c>
      <c r="J88" s="22">
        <f ca="1">IF(Salary[[#This Row],[پایه حقوق]]&lt;=5600000,0,(Salary[[#This Row],[پایه حقوق]]-5600000)*0.1)</f>
        <v>466100</v>
      </c>
      <c r="K88" s="10">
        <f t="shared" ca="1" si="10"/>
        <v>9076630</v>
      </c>
    </row>
    <row r="89" spans="1:11">
      <c r="A89" s="6">
        <v>9989109</v>
      </c>
      <c r="B89" s="7">
        <f t="shared" ca="1" si="6"/>
        <v>91</v>
      </c>
      <c r="C89" s="7">
        <f>MATCH(Salary[[#This Row],[ماه]],Calc!$A$16:$A$27,0)</f>
        <v>2</v>
      </c>
      <c r="D89" s="8" t="s">
        <v>87</v>
      </c>
      <c r="E89" s="9">
        <f t="shared" ca="1" si="11"/>
        <v>13598000</v>
      </c>
      <c r="F89" s="9"/>
      <c r="G89" s="9">
        <f t="shared" ca="1" si="7"/>
        <v>13598000</v>
      </c>
      <c r="H89" s="9">
        <f t="shared" ca="1" si="8"/>
        <v>3127540</v>
      </c>
      <c r="I89" s="9">
        <f t="shared" ca="1" si="9"/>
        <v>951860.00000000012</v>
      </c>
      <c r="J89" s="22">
        <f ca="1">IF(Salary[[#This Row],[پایه حقوق]]&lt;=5600000,0,(Salary[[#This Row],[پایه حقوق]]-5600000)*0.1)</f>
        <v>799800</v>
      </c>
      <c r="K89" s="10">
        <f t="shared" ca="1" si="10"/>
        <v>11846340</v>
      </c>
    </row>
    <row r="90" spans="1:11">
      <c r="A90" s="6">
        <v>9989157</v>
      </c>
      <c r="B90" s="7">
        <f t="shared" ca="1" si="6"/>
        <v>90</v>
      </c>
      <c r="C90" s="7">
        <f>MATCH(Salary[[#This Row],[ماه]],Calc!$A$16:$A$27,0)</f>
        <v>2</v>
      </c>
      <c r="D90" s="8" t="s">
        <v>87</v>
      </c>
      <c r="E90" s="9">
        <f t="shared" ca="1" si="11"/>
        <v>12938000</v>
      </c>
      <c r="F90" s="9"/>
      <c r="G90" s="9">
        <f t="shared" ca="1" si="7"/>
        <v>12938000</v>
      </c>
      <c r="H90" s="9">
        <f t="shared" ca="1" si="8"/>
        <v>2975740</v>
      </c>
      <c r="I90" s="9">
        <f t="shared" ca="1" si="9"/>
        <v>905660.00000000012</v>
      </c>
      <c r="J90" s="22">
        <f ca="1">IF(Salary[[#This Row],[پایه حقوق]]&lt;=5600000,0,(Salary[[#This Row],[پایه حقوق]]-5600000)*0.1)</f>
        <v>733800</v>
      </c>
      <c r="K90" s="10">
        <f t="shared" ca="1" si="10"/>
        <v>11298540</v>
      </c>
    </row>
    <row r="91" spans="1:11">
      <c r="A91" s="6">
        <v>9989205</v>
      </c>
      <c r="B91" s="7">
        <f t="shared" ca="1" si="6"/>
        <v>43</v>
      </c>
      <c r="C91" s="7">
        <f>MATCH(Salary[[#This Row],[ماه]],Calc!$A$16:$A$27,0)</f>
        <v>2</v>
      </c>
      <c r="D91" s="8" t="s">
        <v>87</v>
      </c>
      <c r="E91" s="9">
        <f t="shared" ca="1" si="11"/>
        <v>9188000</v>
      </c>
      <c r="F91" s="9"/>
      <c r="G91" s="9">
        <f t="shared" ca="1" si="7"/>
        <v>9188000</v>
      </c>
      <c r="H91" s="9">
        <f t="shared" ca="1" si="8"/>
        <v>2113240</v>
      </c>
      <c r="I91" s="9">
        <f t="shared" ca="1" si="9"/>
        <v>643160.00000000012</v>
      </c>
      <c r="J91" s="22">
        <f ca="1">IF(Salary[[#This Row],[پایه حقوق]]&lt;=5600000,0,(Salary[[#This Row],[پایه حقوق]]-5600000)*0.1)</f>
        <v>358800</v>
      </c>
      <c r="K91" s="10">
        <f t="shared" ca="1" si="10"/>
        <v>8186040</v>
      </c>
    </row>
    <row r="92" spans="1:11">
      <c r="A92" s="6">
        <v>9989253</v>
      </c>
      <c r="B92" s="7">
        <f t="shared" ca="1" si="6"/>
        <v>47</v>
      </c>
      <c r="C92" s="7">
        <f>MATCH(Salary[[#This Row],[ماه]],Calc!$A$16:$A$27,0)</f>
        <v>2</v>
      </c>
      <c r="D92" s="8" t="s">
        <v>87</v>
      </c>
      <c r="E92" s="9">
        <f t="shared" ca="1" si="11"/>
        <v>12738000</v>
      </c>
      <c r="F92" s="9"/>
      <c r="G92" s="9">
        <f t="shared" ca="1" si="7"/>
        <v>12738000</v>
      </c>
      <c r="H92" s="9">
        <f t="shared" ca="1" si="8"/>
        <v>2929740</v>
      </c>
      <c r="I92" s="9">
        <f t="shared" ca="1" si="9"/>
        <v>891660.00000000012</v>
      </c>
      <c r="J92" s="22">
        <f ca="1">IF(Salary[[#This Row],[پایه حقوق]]&lt;=5600000,0,(Salary[[#This Row],[پایه حقوق]]-5600000)*0.1)</f>
        <v>713800</v>
      </c>
      <c r="K92" s="10">
        <f t="shared" ca="1" si="10"/>
        <v>11132540</v>
      </c>
    </row>
    <row r="93" spans="1:11">
      <c r="A93" s="6">
        <v>9989301</v>
      </c>
      <c r="B93" s="7">
        <f t="shared" ca="1" si="6"/>
        <v>49</v>
      </c>
      <c r="C93" s="7">
        <f>MATCH(Salary[[#This Row],[ماه]],Calc!$A$16:$A$27,0)</f>
        <v>2</v>
      </c>
      <c r="D93" s="8" t="s">
        <v>87</v>
      </c>
      <c r="E93" s="9">
        <f t="shared" ca="1" si="11"/>
        <v>10299000</v>
      </c>
      <c r="F93" s="9"/>
      <c r="G93" s="9">
        <f t="shared" ca="1" si="7"/>
        <v>10299000</v>
      </c>
      <c r="H93" s="9">
        <f t="shared" ca="1" si="8"/>
        <v>2368770</v>
      </c>
      <c r="I93" s="9">
        <f t="shared" ca="1" si="9"/>
        <v>720930.00000000012</v>
      </c>
      <c r="J93" s="22">
        <f ca="1">IF(Salary[[#This Row],[پایه حقوق]]&lt;=5600000,0,(Salary[[#This Row],[پایه حقوق]]-5600000)*0.1)</f>
        <v>469900</v>
      </c>
      <c r="K93" s="10">
        <f t="shared" ca="1" si="10"/>
        <v>9108170</v>
      </c>
    </row>
    <row r="94" spans="1:11">
      <c r="A94" s="6">
        <v>9989349</v>
      </c>
      <c r="B94" s="7">
        <f t="shared" ca="1" si="6"/>
        <v>87</v>
      </c>
      <c r="C94" s="7">
        <f>MATCH(Salary[[#This Row],[ماه]],Calc!$A$16:$A$27,0)</f>
        <v>2</v>
      </c>
      <c r="D94" s="8" t="s">
        <v>87</v>
      </c>
      <c r="E94" s="9">
        <f t="shared" ca="1" si="11"/>
        <v>7851000</v>
      </c>
      <c r="F94" s="9"/>
      <c r="G94" s="9">
        <f t="shared" ca="1" si="7"/>
        <v>7851000</v>
      </c>
      <c r="H94" s="9">
        <f t="shared" ca="1" si="8"/>
        <v>1805730</v>
      </c>
      <c r="I94" s="9">
        <f t="shared" ca="1" si="9"/>
        <v>549570</v>
      </c>
      <c r="J94" s="22">
        <f ca="1">IF(Salary[[#This Row],[پایه حقوق]]&lt;=5600000,0,(Salary[[#This Row],[پایه حقوق]]-5600000)*0.1)</f>
        <v>225100</v>
      </c>
      <c r="K94" s="10">
        <f t="shared" ca="1" si="10"/>
        <v>7076330</v>
      </c>
    </row>
    <row r="95" spans="1:11">
      <c r="A95" s="6">
        <v>9989397</v>
      </c>
      <c r="B95" s="7">
        <f t="shared" ca="1" si="6"/>
        <v>88</v>
      </c>
      <c r="C95" s="7">
        <f>MATCH(Salary[[#This Row],[ماه]],Calc!$A$16:$A$27,0)</f>
        <v>2</v>
      </c>
      <c r="D95" s="8" t="s">
        <v>87</v>
      </c>
      <c r="E95" s="9">
        <f t="shared" ca="1" si="11"/>
        <v>9865000</v>
      </c>
      <c r="F95" s="9"/>
      <c r="G95" s="9">
        <f t="shared" ca="1" si="7"/>
        <v>9865000</v>
      </c>
      <c r="H95" s="9">
        <f t="shared" ca="1" si="8"/>
        <v>2268950</v>
      </c>
      <c r="I95" s="9">
        <f t="shared" ca="1" si="9"/>
        <v>690550.00000000012</v>
      </c>
      <c r="J95" s="22">
        <f ca="1">IF(Salary[[#This Row],[پایه حقوق]]&lt;=5600000,0,(Salary[[#This Row],[پایه حقوق]]-5600000)*0.1)</f>
        <v>426500</v>
      </c>
      <c r="K95" s="10">
        <f t="shared" ca="1" si="10"/>
        <v>8747950</v>
      </c>
    </row>
    <row r="96" spans="1:11">
      <c r="A96" s="6">
        <v>9989445</v>
      </c>
      <c r="B96" s="7">
        <f t="shared" ca="1" si="6"/>
        <v>95</v>
      </c>
      <c r="C96" s="7">
        <f>MATCH(Salary[[#This Row],[ماه]],Calc!$A$16:$A$27,0)</f>
        <v>2</v>
      </c>
      <c r="D96" s="8" t="s">
        <v>87</v>
      </c>
      <c r="E96" s="9">
        <f t="shared" ca="1" si="11"/>
        <v>8570000</v>
      </c>
      <c r="F96" s="9"/>
      <c r="G96" s="9">
        <f t="shared" ca="1" si="7"/>
        <v>8570000</v>
      </c>
      <c r="H96" s="9">
        <f t="shared" ca="1" si="8"/>
        <v>1971100</v>
      </c>
      <c r="I96" s="9">
        <f t="shared" ca="1" si="9"/>
        <v>599900</v>
      </c>
      <c r="J96" s="22">
        <f ca="1">IF(Salary[[#This Row],[پایه حقوق]]&lt;=5600000,0,(Salary[[#This Row],[پایه حقوق]]-5600000)*0.1)</f>
        <v>297000</v>
      </c>
      <c r="K96" s="10">
        <f t="shared" ca="1" si="10"/>
        <v>7673100</v>
      </c>
    </row>
    <row r="97" spans="1:11">
      <c r="A97" s="6">
        <v>9989493</v>
      </c>
      <c r="B97" s="7">
        <f t="shared" ca="1" si="6"/>
        <v>87</v>
      </c>
      <c r="C97" s="7">
        <f>MATCH(Salary[[#This Row],[ماه]],Calc!$A$16:$A$27,0)</f>
        <v>2</v>
      </c>
      <c r="D97" s="8" t="s">
        <v>87</v>
      </c>
      <c r="E97" s="9">
        <f t="shared" ca="1" si="11"/>
        <v>3635000</v>
      </c>
      <c r="F97" s="9"/>
      <c r="G97" s="9">
        <f t="shared" ca="1" si="7"/>
        <v>3635000</v>
      </c>
      <c r="H97" s="9">
        <f t="shared" ca="1" si="8"/>
        <v>836050</v>
      </c>
      <c r="I97" s="9">
        <f t="shared" ca="1" si="9"/>
        <v>254450.00000000003</v>
      </c>
      <c r="J97" s="22">
        <f ca="1">IF(Salary[[#This Row],[پایه حقوق]]&lt;=5600000,0,(Salary[[#This Row],[پایه حقوق]]-5600000)*0.1)</f>
        <v>0</v>
      </c>
      <c r="K97" s="10">
        <f t="shared" ca="1" si="10"/>
        <v>3380550</v>
      </c>
    </row>
    <row r="98" spans="1:11">
      <c r="A98" s="6">
        <v>9989541</v>
      </c>
      <c r="B98" s="7">
        <f t="shared" ca="1" si="6"/>
        <v>44</v>
      </c>
      <c r="C98" s="7">
        <f>MATCH(Salary[[#This Row],[ماه]],Calc!$A$16:$A$27,0)</f>
        <v>2</v>
      </c>
      <c r="D98" s="8" t="s">
        <v>87</v>
      </c>
      <c r="E98" s="9">
        <f t="shared" ca="1" si="11"/>
        <v>3212000</v>
      </c>
      <c r="F98" s="9"/>
      <c r="G98" s="9">
        <f t="shared" ca="1" si="7"/>
        <v>3212000</v>
      </c>
      <c r="H98" s="9">
        <f t="shared" ca="1" si="8"/>
        <v>738760</v>
      </c>
      <c r="I98" s="9">
        <f t="shared" ca="1" si="9"/>
        <v>224840.00000000003</v>
      </c>
      <c r="J98" s="22">
        <f ca="1">IF(Salary[[#This Row],[پایه حقوق]]&lt;=5600000,0,(Salary[[#This Row],[پایه حقوق]]-5600000)*0.1)</f>
        <v>0</v>
      </c>
      <c r="K98" s="10">
        <f t="shared" ca="1" si="10"/>
        <v>2987160</v>
      </c>
    </row>
    <row r="99" spans="1:11">
      <c r="A99" s="6">
        <v>9989589</v>
      </c>
      <c r="B99" s="7">
        <f t="shared" ca="1" si="6"/>
        <v>39</v>
      </c>
      <c r="C99" s="7">
        <f>MATCH(Salary[[#This Row],[ماه]],Calc!$A$16:$A$27,0)</f>
        <v>2</v>
      </c>
      <c r="D99" s="8" t="s">
        <v>87</v>
      </c>
      <c r="E99" s="9">
        <f t="shared" ca="1" si="11"/>
        <v>10789000</v>
      </c>
      <c r="F99" s="9"/>
      <c r="G99" s="9">
        <f t="shared" ca="1" si="7"/>
        <v>10789000</v>
      </c>
      <c r="H99" s="9">
        <f t="shared" ca="1" si="8"/>
        <v>2481470</v>
      </c>
      <c r="I99" s="9">
        <f t="shared" ca="1" si="9"/>
        <v>755230.00000000012</v>
      </c>
      <c r="J99" s="22">
        <f ca="1">IF(Salary[[#This Row],[پایه حقوق]]&lt;=5600000,0,(Salary[[#This Row],[پایه حقوق]]-5600000)*0.1)</f>
        <v>518900</v>
      </c>
      <c r="K99" s="10">
        <f t="shared" ca="1" si="10"/>
        <v>9514870</v>
      </c>
    </row>
    <row r="100" spans="1:11">
      <c r="A100" s="6">
        <v>9989637</v>
      </c>
      <c r="B100" s="7">
        <f t="shared" ca="1" si="6"/>
        <v>90</v>
      </c>
      <c r="C100" s="7">
        <f>MATCH(Salary[[#This Row],[ماه]],Calc!$A$16:$A$27,0)</f>
        <v>2</v>
      </c>
      <c r="D100" s="8" t="s">
        <v>87</v>
      </c>
      <c r="E100" s="9">
        <f t="shared" ca="1" si="11"/>
        <v>4942000</v>
      </c>
      <c r="F100" s="9"/>
      <c r="G100" s="9">
        <f t="shared" ca="1" si="7"/>
        <v>4942000</v>
      </c>
      <c r="H100" s="9">
        <f t="shared" ca="1" si="8"/>
        <v>1136660</v>
      </c>
      <c r="I100" s="9">
        <f t="shared" ca="1" si="9"/>
        <v>345940.00000000006</v>
      </c>
      <c r="J100" s="22">
        <f ca="1">IF(Salary[[#This Row],[پایه حقوق]]&lt;=5600000,0,(Salary[[#This Row],[پایه حقوق]]-5600000)*0.1)</f>
        <v>0</v>
      </c>
      <c r="K100" s="10">
        <f t="shared" ca="1" si="10"/>
        <v>4596060</v>
      </c>
    </row>
    <row r="101" spans="1:11">
      <c r="A101" s="6">
        <v>9989685</v>
      </c>
      <c r="B101" s="7">
        <f t="shared" ca="1" si="6"/>
        <v>58</v>
      </c>
      <c r="C101" s="7">
        <f>MATCH(Salary[[#This Row],[ماه]],Calc!$A$16:$A$27,0)</f>
        <v>2</v>
      </c>
      <c r="D101" s="8" t="s">
        <v>87</v>
      </c>
      <c r="E101" s="9">
        <f t="shared" ca="1" si="11"/>
        <v>6910000</v>
      </c>
      <c r="F101" s="9"/>
      <c r="G101" s="9">
        <f t="shared" ca="1" si="7"/>
        <v>6910000</v>
      </c>
      <c r="H101" s="9">
        <f t="shared" ca="1" si="8"/>
        <v>1589300</v>
      </c>
      <c r="I101" s="9">
        <f t="shared" ca="1" si="9"/>
        <v>483700.00000000006</v>
      </c>
      <c r="J101" s="22">
        <f ca="1">IF(Salary[[#This Row],[پایه حقوق]]&lt;=5600000,0,(Salary[[#This Row],[پایه حقوق]]-5600000)*0.1)</f>
        <v>131000</v>
      </c>
      <c r="K101" s="10">
        <f t="shared" ca="1" si="10"/>
        <v>6295300</v>
      </c>
    </row>
    <row r="102" spans="1:11">
      <c r="A102" s="6">
        <v>9989733</v>
      </c>
      <c r="B102" s="7">
        <f t="shared" ca="1" si="6"/>
        <v>55</v>
      </c>
      <c r="C102" s="7">
        <f>MATCH(Salary[[#This Row],[ماه]],Calc!$A$16:$A$27,0)</f>
        <v>2</v>
      </c>
      <c r="D102" s="8" t="s">
        <v>87</v>
      </c>
      <c r="E102" s="9">
        <f t="shared" ca="1" si="11"/>
        <v>4692000</v>
      </c>
      <c r="F102" s="9"/>
      <c r="G102" s="9">
        <f t="shared" ca="1" si="7"/>
        <v>4692000</v>
      </c>
      <c r="H102" s="9">
        <f t="shared" ca="1" si="8"/>
        <v>1079160</v>
      </c>
      <c r="I102" s="9">
        <f t="shared" ca="1" si="9"/>
        <v>328440.00000000006</v>
      </c>
      <c r="J102" s="22">
        <f ca="1">IF(Salary[[#This Row],[پایه حقوق]]&lt;=5600000,0,(Salary[[#This Row],[پایه حقوق]]-5600000)*0.1)</f>
        <v>0</v>
      </c>
      <c r="K102" s="10">
        <f t="shared" ca="1" si="10"/>
        <v>4363560</v>
      </c>
    </row>
    <row r="103" spans="1:11">
      <c r="A103" s="6">
        <v>9989781</v>
      </c>
      <c r="B103" s="7">
        <f t="shared" ca="1" si="6"/>
        <v>94</v>
      </c>
      <c r="C103" s="7">
        <f>MATCH(Salary[[#This Row],[ماه]],Calc!$A$16:$A$27,0)</f>
        <v>2</v>
      </c>
      <c r="D103" s="8" t="s">
        <v>87</v>
      </c>
      <c r="E103" s="9">
        <f t="shared" ca="1" si="11"/>
        <v>11541000</v>
      </c>
      <c r="F103" s="9"/>
      <c r="G103" s="9">
        <f t="shared" ca="1" si="7"/>
        <v>11541000</v>
      </c>
      <c r="H103" s="9">
        <f t="shared" ca="1" si="8"/>
        <v>2654430</v>
      </c>
      <c r="I103" s="9">
        <f t="shared" ca="1" si="9"/>
        <v>807870.00000000012</v>
      </c>
      <c r="J103" s="22">
        <f ca="1">IF(Salary[[#This Row],[پایه حقوق]]&lt;=5600000,0,(Salary[[#This Row],[پایه حقوق]]-5600000)*0.1)</f>
        <v>594100</v>
      </c>
      <c r="K103" s="10">
        <f t="shared" ca="1" si="10"/>
        <v>10139030</v>
      </c>
    </row>
    <row r="104" spans="1:11">
      <c r="A104" s="6">
        <v>9989829</v>
      </c>
      <c r="B104" s="7">
        <f t="shared" ca="1" si="6"/>
        <v>89</v>
      </c>
      <c r="C104" s="7">
        <f>MATCH(Salary[[#This Row],[ماه]],Calc!$A$16:$A$27,0)</f>
        <v>2</v>
      </c>
      <c r="D104" s="8" t="s">
        <v>87</v>
      </c>
      <c r="E104" s="9">
        <f t="shared" ca="1" si="11"/>
        <v>14415000</v>
      </c>
      <c r="F104" s="9"/>
      <c r="G104" s="9">
        <f t="shared" ca="1" si="7"/>
        <v>14415000</v>
      </c>
      <c r="H104" s="9">
        <f t="shared" ca="1" si="8"/>
        <v>3315450</v>
      </c>
      <c r="I104" s="9">
        <f t="shared" ca="1" si="9"/>
        <v>1009050.0000000001</v>
      </c>
      <c r="J104" s="22">
        <f ca="1">IF(Salary[[#This Row],[پایه حقوق]]&lt;=5600000,0,(Salary[[#This Row],[پایه حقوق]]-5600000)*0.1)</f>
        <v>881500</v>
      </c>
      <c r="K104" s="10">
        <f t="shared" ca="1" si="10"/>
        <v>12524450</v>
      </c>
    </row>
    <row r="105" spans="1:11">
      <c r="A105" s="6">
        <v>9989877</v>
      </c>
      <c r="B105" s="7">
        <f t="shared" ca="1" si="6"/>
        <v>60</v>
      </c>
      <c r="C105" s="7">
        <f>MATCH(Salary[[#This Row],[ماه]],Calc!$A$16:$A$27,0)</f>
        <v>2</v>
      </c>
      <c r="D105" s="8" t="s">
        <v>87</v>
      </c>
      <c r="E105" s="9">
        <f t="shared" ca="1" si="11"/>
        <v>13957000</v>
      </c>
      <c r="F105" s="9"/>
      <c r="G105" s="9">
        <f t="shared" ca="1" si="7"/>
        <v>13957000</v>
      </c>
      <c r="H105" s="9">
        <f t="shared" ca="1" si="8"/>
        <v>3210110</v>
      </c>
      <c r="I105" s="9">
        <f t="shared" ca="1" si="9"/>
        <v>976990.00000000012</v>
      </c>
      <c r="J105" s="22">
        <f ca="1">IF(Salary[[#This Row],[پایه حقوق]]&lt;=5600000,0,(Salary[[#This Row],[پایه حقوق]]-5600000)*0.1)</f>
        <v>835700</v>
      </c>
      <c r="K105" s="10">
        <f t="shared" ca="1" si="10"/>
        <v>12144310</v>
      </c>
    </row>
    <row r="106" spans="1:11">
      <c r="A106" s="6">
        <v>9989925</v>
      </c>
      <c r="B106" s="7">
        <f t="shared" ca="1" si="6"/>
        <v>62</v>
      </c>
      <c r="C106" s="7">
        <f>MATCH(Salary[[#This Row],[ماه]],Calc!$A$16:$A$27,0)</f>
        <v>2</v>
      </c>
      <c r="D106" s="8" t="s">
        <v>87</v>
      </c>
      <c r="E106" s="9">
        <f t="shared" ca="1" si="11"/>
        <v>10348000</v>
      </c>
      <c r="F106" s="9"/>
      <c r="G106" s="9">
        <f t="shared" ca="1" si="7"/>
        <v>10348000</v>
      </c>
      <c r="H106" s="9">
        <f t="shared" ca="1" si="8"/>
        <v>2380040</v>
      </c>
      <c r="I106" s="9">
        <f t="shared" ca="1" si="9"/>
        <v>724360.00000000012</v>
      </c>
      <c r="J106" s="22">
        <f ca="1">IF(Salary[[#This Row],[پایه حقوق]]&lt;=5600000,0,(Salary[[#This Row],[پایه حقوق]]-5600000)*0.1)</f>
        <v>474800</v>
      </c>
      <c r="K106" s="10">
        <f t="shared" ca="1" si="10"/>
        <v>9148840</v>
      </c>
    </row>
    <row r="107" spans="1:11">
      <c r="A107" s="6">
        <v>9989973</v>
      </c>
      <c r="B107" s="7">
        <f t="shared" ca="1" si="6"/>
        <v>80</v>
      </c>
      <c r="C107" s="7">
        <f>MATCH(Salary[[#This Row],[ماه]],Calc!$A$16:$A$27,0)</f>
        <v>2</v>
      </c>
      <c r="D107" s="8" t="s">
        <v>87</v>
      </c>
      <c r="E107" s="9">
        <f t="shared" ca="1" si="11"/>
        <v>7592000</v>
      </c>
      <c r="F107" s="9"/>
      <c r="G107" s="9">
        <f t="shared" ca="1" si="7"/>
        <v>7592000</v>
      </c>
      <c r="H107" s="9">
        <f t="shared" ca="1" si="8"/>
        <v>1746160</v>
      </c>
      <c r="I107" s="9">
        <f t="shared" ca="1" si="9"/>
        <v>531440</v>
      </c>
      <c r="J107" s="22">
        <f ca="1">IF(Salary[[#This Row],[پایه حقوق]]&lt;=5600000,0,(Salary[[#This Row],[پایه حقوق]]-5600000)*0.1)</f>
        <v>199200</v>
      </c>
      <c r="K107" s="10">
        <f t="shared" ca="1" si="10"/>
        <v>6861360</v>
      </c>
    </row>
    <row r="108" spans="1:11">
      <c r="A108" s="6">
        <v>9990021</v>
      </c>
      <c r="B108" s="7">
        <f t="shared" ca="1" si="6"/>
        <v>82</v>
      </c>
      <c r="C108" s="7">
        <f>MATCH(Salary[[#This Row],[ماه]],Calc!$A$16:$A$27,0)</f>
        <v>2</v>
      </c>
      <c r="D108" s="8" t="s">
        <v>87</v>
      </c>
      <c r="E108" s="9">
        <f t="shared" ca="1" si="11"/>
        <v>11361000</v>
      </c>
      <c r="F108" s="9"/>
      <c r="G108" s="9">
        <f t="shared" ca="1" si="7"/>
        <v>11361000</v>
      </c>
      <c r="H108" s="9">
        <f t="shared" ca="1" si="8"/>
        <v>2613030</v>
      </c>
      <c r="I108" s="9">
        <f t="shared" ca="1" si="9"/>
        <v>795270.00000000012</v>
      </c>
      <c r="J108" s="22">
        <f ca="1">IF(Salary[[#This Row],[پایه حقوق]]&lt;=5600000,0,(Salary[[#This Row],[پایه حقوق]]-5600000)*0.1)</f>
        <v>576100</v>
      </c>
      <c r="K108" s="10">
        <f t="shared" ca="1" si="10"/>
        <v>9989630</v>
      </c>
    </row>
    <row r="109" spans="1:11">
      <c r="A109" s="6">
        <v>9990069</v>
      </c>
      <c r="B109" s="7">
        <f t="shared" ca="1" si="6"/>
        <v>91</v>
      </c>
      <c r="C109" s="7">
        <f>MATCH(Salary[[#This Row],[ماه]],Calc!$A$16:$A$27,0)</f>
        <v>2</v>
      </c>
      <c r="D109" s="8" t="s">
        <v>87</v>
      </c>
      <c r="E109" s="9">
        <f t="shared" ca="1" si="11"/>
        <v>11346000</v>
      </c>
      <c r="F109" s="9"/>
      <c r="G109" s="9">
        <f t="shared" ca="1" si="7"/>
        <v>11346000</v>
      </c>
      <c r="H109" s="9">
        <f t="shared" ca="1" si="8"/>
        <v>2609580</v>
      </c>
      <c r="I109" s="9">
        <f t="shared" ca="1" si="9"/>
        <v>794220.00000000012</v>
      </c>
      <c r="J109" s="22">
        <f ca="1">IF(Salary[[#This Row],[پایه حقوق]]&lt;=5600000,0,(Salary[[#This Row],[پایه حقوق]]-5600000)*0.1)</f>
        <v>574600</v>
      </c>
      <c r="K109" s="10">
        <f t="shared" ca="1" si="10"/>
        <v>9977180</v>
      </c>
    </row>
    <row r="110" spans="1:11">
      <c r="A110" s="6">
        <v>9990117</v>
      </c>
      <c r="B110" s="7">
        <f t="shared" ca="1" si="6"/>
        <v>70</v>
      </c>
      <c r="C110" s="7">
        <f>MATCH(Salary[[#This Row],[ماه]],Calc!$A$16:$A$27,0)</f>
        <v>2</v>
      </c>
      <c r="D110" s="8" t="s">
        <v>87</v>
      </c>
      <c r="E110" s="9">
        <f t="shared" ca="1" si="11"/>
        <v>5896000</v>
      </c>
      <c r="F110" s="9"/>
      <c r="G110" s="9">
        <f t="shared" ca="1" si="7"/>
        <v>5896000</v>
      </c>
      <c r="H110" s="9">
        <f t="shared" ca="1" si="8"/>
        <v>1356080</v>
      </c>
      <c r="I110" s="9">
        <f t="shared" ca="1" si="9"/>
        <v>412720.00000000006</v>
      </c>
      <c r="J110" s="22">
        <f ca="1">IF(Salary[[#This Row],[پایه حقوق]]&lt;=5600000,0,(Salary[[#This Row],[پایه حقوق]]-5600000)*0.1)</f>
        <v>29600</v>
      </c>
      <c r="K110" s="10">
        <f t="shared" ca="1" si="10"/>
        <v>5453680</v>
      </c>
    </row>
    <row r="111" spans="1:11">
      <c r="A111" s="6">
        <v>9990165</v>
      </c>
      <c r="B111" s="7">
        <f t="shared" ca="1" si="6"/>
        <v>42</v>
      </c>
      <c r="C111" s="7">
        <f>MATCH(Salary[[#This Row],[ماه]],Calc!$A$16:$A$27,0)</f>
        <v>2</v>
      </c>
      <c r="D111" s="8" t="s">
        <v>87</v>
      </c>
      <c r="E111" s="9">
        <f t="shared" ca="1" si="11"/>
        <v>12884000</v>
      </c>
      <c r="F111" s="9"/>
      <c r="G111" s="9">
        <f t="shared" ca="1" si="7"/>
        <v>12884000</v>
      </c>
      <c r="H111" s="9">
        <f t="shared" ca="1" si="8"/>
        <v>2963320</v>
      </c>
      <c r="I111" s="9">
        <f t="shared" ca="1" si="9"/>
        <v>901880.00000000012</v>
      </c>
      <c r="J111" s="22">
        <f ca="1">IF(Salary[[#This Row],[پایه حقوق]]&lt;=5600000,0,(Salary[[#This Row],[پایه حقوق]]-5600000)*0.1)</f>
        <v>728400</v>
      </c>
      <c r="K111" s="10">
        <f t="shared" ca="1" si="10"/>
        <v>11253720</v>
      </c>
    </row>
    <row r="112" spans="1:11">
      <c r="A112" s="6">
        <v>9990213</v>
      </c>
      <c r="B112" s="7">
        <f t="shared" ca="1" si="6"/>
        <v>86</v>
      </c>
      <c r="C112" s="7">
        <f>MATCH(Salary[[#This Row],[ماه]],Calc!$A$16:$A$27,0)</f>
        <v>2</v>
      </c>
      <c r="D112" s="8" t="s">
        <v>87</v>
      </c>
      <c r="E112" s="9">
        <f t="shared" ca="1" si="11"/>
        <v>14395000</v>
      </c>
      <c r="F112" s="9"/>
      <c r="G112" s="9">
        <f t="shared" ca="1" si="7"/>
        <v>14395000</v>
      </c>
      <c r="H112" s="9">
        <f t="shared" ca="1" si="8"/>
        <v>3310850</v>
      </c>
      <c r="I112" s="9">
        <f t="shared" ca="1" si="9"/>
        <v>1007650.0000000001</v>
      </c>
      <c r="J112" s="22">
        <f ca="1">IF(Salary[[#This Row],[پایه حقوق]]&lt;=5600000,0,(Salary[[#This Row],[پایه حقوق]]-5600000)*0.1)</f>
        <v>879500</v>
      </c>
      <c r="K112" s="10">
        <f t="shared" ca="1" si="10"/>
        <v>12507850</v>
      </c>
    </row>
    <row r="113" spans="1:11">
      <c r="A113" s="6">
        <v>9990261</v>
      </c>
      <c r="B113" s="7">
        <f t="shared" ca="1" si="6"/>
        <v>73</v>
      </c>
      <c r="C113" s="7">
        <f>MATCH(Salary[[#This Row],[ماه]],Calc!$A$16:$A$27,0)</f>
        <v>2</v>
      </c>
      <c r="D113" s="8" t="s">
        <v>87</v>
      </c>
      <c r="E113" s="9">
        <f t="shared" ca="1" si="11"/>
        <v>14479000</v>
      </c>
      <c r="F113" s="9"/>
      <c r="G113" s="9">
        <f t="shared" ca="1" si="7"/>
        <v>14479000</v>
      </c>
      <c r="H113" s="9">
        <f t="shared" ca="1" si="8"/>
        <v>3330170</v>
      </c>
      <c r="I113" s="9">
        <f t="shared" ca="1" si="9"/>
        <v>1013530.0000000001</v>
      </c>
      <c r="J113" s="22">
        <f ca="1">IF(Salary[[#This Row],[پایه حقوق]]&lt;=5600000,0,(Salary[[#This Row],[پایه حقوق]]-5600000)*0.1)</f>
        <v>887900</v>
      </c>
      <c r="K113" s="10">
        <f t="shared" ca="1" si="10"/>
        <v>12577570</v>
      </c>
    </row>
    <row r="114" spans="1:11">
      <c r="A114" s="6">
        <v>9990309</v>
      </c>
      <c r="B114" s="7">
        <f t="shared" ca="1" si="6"/>
        <v>78</v>
      </c>
      <c r="C114" s="7">
        <f>MATCH(Salary[[#This Row],[ماه]],Calc!$A$16:$A$27,0)</f>
        <v>2</v>
      </c>
      <c r="D114" s="8" t="s">
        <v>87</v>
      </c>
      <c r="E114" s="9">
        <f t="shared" ca="1" si="11"/>
        <v>4995000</v>
      </c>
      <c r="F114" s="9"/>
      <c r="G114" s="9">
        <f t="shared" ca="1" si="7"/>
        <v>4995000</v>
      </c>
      <c r="H114" s="9">
        <f t="shared" ca="1" si="8"/>
        <v>1148850</v>
      </c>
      <c r="I114" s="9">
        <f t="shared" ca="1" si="9"/>
        <v>349650.00000000006</v>
      </c>
      <c r="J114" s="22">
        <f ca="1">IF(Salary[[#This Row],[پایه حقوق]]&lt;=5600000,0,(Salary[[#This Row],[پایه حقوق]]-5600000)*0.1)</f>
        <v>0</v>
      </c>
      <c r="K114" s="10">
        <f t="shared" ca="1" si="10"/>
        <v>4645350</v>
      </c>
    </row>
    <row r="115" spans="1:11">
      <c r="A115" s="6">
        <v>9990357</v>
      </c>
      <c r="B115" s="7">
        <f t="shared" ca="1" si="6"/>
        <v>75</v>
      </c>
      <c r="C115" s="7">
        <f>MATCH(Salary[[#This Row],[ماه]],Calc!$A$16:$A$27,0)</f>
        <v>2</v>
      </c>
      <c r="D115" s="8" t="s">
        <v>87</v>
      </c>
      <c r="E115" s="9">
        <f t="shared" ca="1" si="11"/>
        <v>7730000</v>
      </c>
      <c r="F115" s="9"/>
      <c r="G115" s="9">
        <f t="shared" ca="1" si="7"/>
        <v>7730000</v>
      </c>
      <c r="H115" s="9">
        <f t="shared" ca="1" si="8"/>
        <v>1777900</v>
      </c>
      <c r="I115" s="9">
        <f t="shared" ca="1" si="9"/>
        <v>541100</v>
      </c>
      <c r="J115" s="22">
        <f ca="1">IF(Salary[[#This Row],[پایه حقوق]]&lt;=5600000,0,(Salary[[#This Row],[پایه حقوق]]-5600000)*0.1)</f>
        <v>213000</v>
      </c>
      <c r="K115" s="10">
        <f t="shared" ca="1" si="10"/>
        <v>6975900</v>
      </c>
    </row>
    <row r="116" spans="1:11">
      <c r="A116" s="6">
        <v>9990405</v>
      </c>
      <c r="B116" s="7">
        <f t="shared" ca="1" si="6"/>
        <v>87</v>
      </c>
      <c r="C116" s="7">
        <f>MATCH(Salary[[#This Row],[ماه]],Calc!$A$16:$A$27,0)</f>
        <v>2</v>
      </c>
      <c r="D116" s="8" t="s">
        <v>87</v>
      </c>
      <c r="E116" s="9">
        <f t="shared" ca="1" si="11"/>
        <v>13856000</v>
      </c>
      <c r="F116" s="9"/>
      <c r="G116" s="9">
        <f t="shared" ca="1" si="7"/>
        <v>13856000</v>
      </c>
      <c r="H116" s="9">
        <f t="shared" ca="1" si="8"/>
        <v>3186880</v>
      </c>
      <c r="I116" s="9">
        <f t="shared" ca="1" si="9"/>
        <v>969920.00000000012</v>
      </c>
      <c r="J116" s="22">
        <f ca="1">IF(Salary[[#This Row],[پایه حقوق]]&lt;=5600000,0,(Salary[[#This Row],[پایه حقوق]]-5600000)*0.1)</f>
        <v>825600</v>
      </c>
      <c r="K116" s="10">
        <f t="shared" ca="1" si="10"/>
        <v>12060480</v>
      </c>
    </row>
    <row r="117" spans="1:11">
      <c r="A117" s="6">
        <v>9990453</v>
      </c>
      <c r="B117" s="7">
        <f t="shared" ca="1" si="6"/>
        <v>33</v>
      </c>
      <c r="C117" s="7">
        <f>MATCH(Salary[[#This Row],[ماه]],Calc!$A$16:$A$27,0)</f>
        <v>2</v>
      </c>
      <c r="D117" s="8" t="s">
        <v>87</v>
      </c>
      <c r="E117" s="9">
        <f t="shared" ca="1" si="11"/>
        <v>4789000</v>
      </c>
      <c r="F117" s="9"/>
      <c r="G117" s="9">
        <f t="shared" ca="1" si="7"/>
        <v>4789000</v>
      </c>
      <c r="H117" s="9">
        <f t="shared" ca="1" si="8"/>
        <v>1101470</v>
      </c>
      <c r="I117" s="9">
        <f t="shared" ca="1" si="9"/>
        <v>335230.00000000006</v>
      </c>
      <c r="J117" s="22">
        <f ca="1">IF(Salary[[#This Row],[پایه حقوق]]&lt;=5600000,0,(Salary[[#This Row],[پایه حقوق]]-5600000)*0.1)</f>
        <v>0</v>
      </c>
      <c r="K117" s="10">
        <f t="shared" ca="1" si="10"/>
        <v>4453770</v>
      </c>
    </row>
    <row r="118" spans="1:11">
      <c r="A118" s="6">
        <v>9990501</v>
      </c>
      <c r="B118" s="7">
        <f t="shared" ca="1" si="6"/>
        <v>72</v>
      </c>
      <c r="C118" s="7">
        <f>MATCH(Salary[[#This Row],[ماه]],Calc!$A$16:$A$27,0)</f>
        <v>2</v>
      </c>
      <c r="D118" s="8" t="s">
        <v>87</v>
      </c>
      <c r="E118" s="9">
        <f t="shared" ca="1" si="11"/>
        <v>8426000</v>
      </c>
      <c r="F118" s="9"/>
      <c r="G118" s="9">
        <f t="shared" ca="1" si="7"/>
        <v>8426000</v>
      </c>
      <c r="H118" s="9">
        <f t="shared" ca="1" si="8"/>
        <v>1937980</v>
      </c>
      <c r="I118" s="9">
        <f t="shared" ca="1" si="9"/>
        <v>589820</v>
      </c>
      <c r="J118" s="22">
        <f ca="1">IF(Salary[[#This Row],[پایه حقوق]]&lt;=5600000,0,(Salary[[#This Row],[پایه حقوق]]-5600000)*0.1)</f>
        <v>282600</v>
      </c>
      <c r="K118" s="10">
        <f t="shared" ca="1" si="10"/>
        <v>7553580</v>
      </c>
    </row>
    <row r="119" spans="1:11">
      <c r="A119" s="6">
        <v>9990549</v>
      </c>
      <c r="B119" s="7">
        <f t="shared" ca="1" si="6"/>
        <v>99</v>
      </c>
      <c r="C119" s="7">
        <f>MATCH(Salary[[#This Row],[ماه]],Calc!$A$16:$A$27,0)</f>
        <v>2</v>
      </c>
      <c r="D119" s="8" t="s">
        <v>87</v>
      </c>
      <c r="E119" s="9">
        <f t="shared" ca="1" si="11"/>
        <v>13088000</v>
      </c>
      <c r="F119" s="9"/>
      <c r="G119" s="9">
        <f t="shared" ca="1" si="7"/>
        <v>13088000</v>
      </c>
      <c r="H119" s="9">
        <f t="shared" ca="1" si="8"/>
        <v>3010240</v>
      </c>
      <c r="I119" s="9">
        <f t="shared" ca="1" si="9"/>
        <v>916160.00000000012</v>
      </c>
      <c r="J119" s="22">
        <f ca="1">IF(Salary[[#This Row],[پایه حقوق]]&lt;=5600000,0,(Salary[[#This Row],[پایه حقوق]]-5600000)*0.1)</f>
        <v>748800</v>
      </c>
      <c r="K119" s="10">
        <f t="shared" ca="1" si="10"/>
        <v>11423040</v>
      </c>
    </row>
    <row r="120" spans="1:11">
      <c r="A120" s="6">
        <v>9990597</v>
      </c>
      <c r="B120" s="7">
        <f t="shared" ca="1" si="6"/>
        <v>33</v>
      </c>
      <c r="C120" s="7">
        <f>MATCH(Salary[[#This Row],[ماه]],Calc!$A$16:$A$27,0)</f>
        <v>2</v>
      </c>
      <c r="D120" s="8" t="s">
        <v>87</v>
      </c>
      <c r="E120" s="9">
        <f t="shared" ca="1" si="11"/>
        <v>12318000</v>
      </c>
      <c r="F120" s="9"/>
      <c r="G120" s="9">
        <f t="shared" ca="1" si="7"/>
        <v>12318000</v>
      </c>
      <c r="H120" s="9">
        <f t="shared" ca="1" si="8"/>
        <v>2833140</v>
      </c>
      <c r="I120" s="9">
        <f t="shared" ca="1" si="9"/>
        <v>862260.00000000012</v>
      </c>
      <c r="J120" s="22">
        <f ca="1">IF(Salary[[#This Row],[پایه حقوق]]&lt;=5600000,0,(Salary[[#This Row],[پایه حقوق]]-5600000)*0.1)</f>
        <v>671800</v>
      </c>
      <c r="K120" s="10">
        <f t="shared" ca="1" si="10"/>
        <v>10783940</v>
      </c>
    </row>
    <row r="121" spans="1:11">
      <c r="A121" s="11">
        <v>9990645</v>
      </c>
      <c r="B121" s="7">
        <f t="shared" ca="1" si="6"/>
        <v>88</v>
      </c>
      <c r="C121" s="37">
        <f>MATCH(Salary[[#This Row],[ماه]],Calc!$A$16:$A$27,0)</f>
        <v>2</v>
      </c>
      <c r="D121" s="12" t="s">
        <v>87</v>
      </c>
      <c r="E121" s="9">
        <f t="shared" ca="1" si="11"/>
        <v>5017000</v>
      </c>
      <c r="F121" s="13"/>
      <c r="G121" s="13">
        <f t="shared" ca="1" si="7"/>
        <v>5017000</v>
      </c>
      <c r="H121" s="13">
        <f t="shared" ca="1" si="8"/>
        <v>1153910</v>
      </c>
      <c r="I121" s="13">
        <f t="shared" ca="1" si="9"/>
        <v>351190.00000000006</v>
      </c>
      <c r="J121" s="22">
        <f ca="1">IF(Salary[[#This Row],[پایه حقوق]]&lt;=5600000,0,(Salary[[#This Row],[پایه حقوق]]-5600000)*0.1)</f>
        <v>0</v>
      </c>
      <c r="K121" s="14">
        <f t="shared" ca="1" si="10"/>
        <v>4665810</v>
      </c>
    </row>
    <row r="122" spans="1:11">
      <c r="A122" s="15">
        <v>9987656</v>
      </c>
      <c r="B122" s="7">
        <f t="shared" ca="1" si="6"/>
        <v>44</v>
      </c>
      <c r="C122" s="7">
        <f>MATCH(Salary[[#This Row],[ماه]],Calc!$A$16:$A$27,0)</f>
        <v>3</v>
      </c>
      <c r="D122" s="8" t="s">
        <v>88</v>
      </c>
      <c r="E122" s="9">
        <f t="shared" ca="1" si="11"/>
        <v>8734000</v>
      </c>
      <c r="F122" s="9"/>
      <c r="G122" s="9">
        <f t="shared" ca="1" si="7"/>
        <v>8734000</v>
      </c>
      <c r="H122" s="9">
        <f t="shared" ca="1" si="8"/>
        <v>2008820</v>
      </c>
      <c r="I122" s="9">
        <f t="shared" ca="1" si="9"/>
        <v>611380</v>
      </c>
      <c r="J122" s="22">
        <f ca="1">IF(Salary[[#This Row],[پایه حقوق]]&lt;=5600000,0,(Salary[[#This Row],[پایه حقوق]]-5600000)*0.1)</f>
        <v>313400</v>
      </c>
      <c r="K122" s="16">
        <f t="shared" ca="1" si="10"/>
        <v>7809220</v>
      </c>
    </row>
    <row r="123" spans="1:11">
      <c r="A123" s="15">
        <v>9987728</v>
      </c>
      <c r="B123" s="7">
        <f t="shared" ca="1" si="6"/>
        <v>79</v>
      </c>
      <c r="C123" s="7">
        <f>MATCH(Salary[[#This Row],[ماه]],Calc!$A$16:$A$27,0)</f>
        <v>3</v>
      </c>
      <c r="D123" s="8" t="s">
        <v>88</v>
      </c>
      <c r="E123" s="9">
        <f t="shared" ca="1" si="11"/>
        <v>11185000</v>
      </c>
      <c r="F123" s="9">
        <f ca="1">0.7*E123</f>
        <v>7829499.9999999991</v>
      </c>
      <c r="G123" s="9">
        <f t="shared" ca="1" si="7"/>
        <v>19014500</v>
      </c>
      <c r="H123" s="9">
        <f t="shared" ca="1" si="8"/>
        <v>2572550</v>
      </c>
      <c r="I123" s="9">
        <f t="shared" ca="1" si="9"/>
        <v>782950.00000000012</v>
      </c>
      <c r="J123" s="22">
        <f ca="1">IF(Salary[[#This Row],[پایه حقوق]]&lt;=5600000,0,(Salary[[#This Row],[پایه حقوق]]-5600000)*0.1)</f>
        <v>558500</v>
      </c>
      <c r="K123" s="16">
        <f t="shared" ca="1" si="10"/>
        <v>17673050</v>
      </c>
    </row>
    <row r="124" spans="1:11">
      <c r="A124" s="15">
        <v>9987826</v>
      </c>
      <c r="B124" s="7">
        <f t="shared" ca="1" si="6"/>
        <v>64</v>
      </c>
      <c r="C124" s="7">
        <f>MATCH(Salary[[#This Row],[ماه]],Calc!$A$16:$A$27,0)</f>
        <v>3</v>
      </c>
      <c r="D124" s="8" t="s">
        <v>88</v>
      </c>
      <c r="E124" s="9">
        <f t="shared" ca="1" si="11"/>
        <v>8814000</v>
      </c>
      <c r="F124" s="8"/>
      <c r="G124" s="9">
        <f t="shared" ca="1" si="7"/>
        <v>8814000</v>
      </c>
      <c r="H124" s="9">
        <f t="shared" ca="1" si="8"/>
        <v>2027220</v>
      </c>
      <c r="I124" s="9">
        <f t="shared" ca="1" si="9"/>
        <v>616980.00000000012</v>
      </c>
      <c r="J124" s="22">
        <f ca="1">IF(Salary[[#This Row],[پایه حقوق]]&lt;=5600000,0,(Salary[[#This Row],[پایه حقوق]]-5600000)*0.1)</f>
        <v>321400</v>
      </c>
      <c r="K124" s="16">
        <f t="shared" ca="1" si="10"/>
        <v>7875620</v>
      </c>
    </row>
    <row r="125" spans="1:11">
      <c r="A125" s="15">
        <v>9987915</v>
      </c>
      <c r="B125" s="7">
        <f t="shared" ca="1" si="6"/>
        <v>79</v>
      </c>
      <c r="C125" s="7">
        <f>MATCH(Salary[[#This Row],[ماه]],Calc!$A$16:$A$27,0)</f>
        <v>3</v>
      </c>
      <c r="D125" s="8" t="s">
        <v>88</v>
      </c>
      <c r="E125" s="9">
        <f t="shared" ca="1" si="11"/>
        <v>6212000</v>
      </c>
      <c r="F125" s="9"/>
      <c r="G125" s="9">
        <f t="shared" ca="1" si="7"/>
        <v>6212000</v>
      </c>
      <c r="H125" s="9">
        <f t="shared" ca="1" si="8"/>
        <v>1428760</v>
      </c>
      <c r="I125" s="9">
        <f t="shared" ca="1" si="9"/>
        <v>434840.00000000006</v>
      </c>
      <c r="J125" s="22">
        <f ca="1">IF(Salary[[#This Row],[پایه حقوق]]&lt;=5600000,0,(Salary[[#This Row],[پایه حقوق]]-5600000)*0.1)</f>
        <v>61200</v>
      </c>
      <c r="K125" s="16">
        <f t="shared" ca="1" si="10"/>
        <v>5715960</v>
      </c>
    </row>
    <row r="126" spans="1:11">
      <c r="A126" s="15">
        <v>9987938</v>
      </c>
      <c r="B126" s="7">
        <f t="shared" ca="1" si="6"/>
        <v>51</v>
      </c>
      <c r="C126" s="7">
        <f>MATCH(Salary[[#This Row],[ماه]],Calc!$A$16:$A$27,0)</f>
        <v>3</v>
      </c>
      <c r="D126" s="8" t="s">
        <v>88</v>
      </c>
      <c r="E126" s="9">
        <f t="shared" ca="1" si="11"/>
        <v>10891000</v>
      </c>
      <c r="F126" s="8"/>
      <c r="G126" s="9">
        <f t="shared" ca="1" si="7"/>
        <v>10891000</v>
      </c>
      <c r="H126" s="9">
        <f t="shared" ca="1" si="8"/>
        <v>2504930</v>
      </c>
      <c r="I126" s="9">
        <f t="shared" ca="1" si="9"/>
        <v>762370.00000000012</v>
      </c>
      <c r="J126" s="22">
        <f ca="1">IF(Salary[[#This Row],[پایه حقوق]]&lt;=5600000,0,(Salary[[#This Row],[پایه حقوق]]-5600000)*0.1)</f>
        <v>529100</v>
      </c>
      <c r="K126" s="16">
        <f t="shared" ca="1" si="10"/>
        <v>9599530</v>
      </c>
    </row>
    <row r="127" spans="1:11">
      <c r="A127" s="15">
        <v>9988023</v>
      </c>
      <c r="B127" s="7">
        <f t="shared" ca="1" si="6"/>
        <v>92</v>
      </c>
      <c r="C127" s="7">
        <f>MATCH(Salary[[#This Row],[ماه]],Calc!$A$16:$A$27,0)</f>
        <v>3</v>
      </c>
      <c r="D127" s="8" t="s">
        <v>88</v>
      </c>
      <c r="E127" s="9">
        <f t="shared" ca="1" si="11"/>
        <v>8120000</v>
      </c>
      <c r="F127" s="8"/>
      <c r="G127" s="9">
        <f t="shared" ca="1" si="7"/>
        <v>8120000</v>
      </c>
      <c r="H127" s="9">
        <f t="shared" ca="1" si="8"/>
        <v>1867600</v>
      </c>
      <c r="I127" s="9">
        <f t="shared" ca="1" si="9"/>
        <v>568400</v>
      </c>
      <c r="J127" s="22">
        <f ca="1">IF(Salary[[#This Row],[پایه حقوق]]&lt;=5600000,0,(Salary[[#This Row],[پایه حقوق]]-5600000)*0.1)</f>
        <v>252000</v>
      </c>
      <c r="K127" s="16">
        <f t="shared" ca="1" si="10"/>
        <v>7299600</v>
      </c>
    </row>
    <row r="128" spans="1:11">
      <c r="A128" s="15">
        <v>9988106</v>
      </c>
      <c r="B128" s="7">
        <f t="shared" ca="1" si="6"/>
        <v>73</v>
      </c>
      <c r="C128" s="7">
        <f>MATCH(Salary[[#This Row],[ماه]],Calc!$A$16:$A$27,0)</f>
        <v>3</v>
      </c>
      <c r="D128" s="8" t="s">
        <v>88</v>
      </c>
      <c r="E128" s="9">
        <f t="shared" ca="1" si="11"/>
        <v>7748000</v>
      </c>
      <c r="F128" s="8"/>
      <c r="G128" s="9">
        <f t="shared" ca="1" si="7"/>
        <v>7748000</v>
      </c>
      <c r="H128" s="9">
        <f t="shared" ca="1" si="8"/>
        <v>1782040</v>
      </c>
      <c r="I128" s="9">
        <f t="shared" ca="1" si="9"/>
        <v>542360</v>
      </c>
      <c r="J128" s="22">
        <f ca="1">IF(Salary[[#This Row],[پایه حقوق]]&lt;=5600000,0,(Salary[[#This Row],[پایه حقوق]]-5600000)*0.1)</f>
        <v>214800</v>
      </c>
      <c r="K128" s="16">
        <f t="shared" ca="1" si="10"/>
        <v>6990840</v>
      </c>
    </row>
    <row r="129" spans="1:11">
      <c r="A129" s="15">
        <v>9988137</v>
      </c>
      <c r="B129" s="7">
        <f t="shared" ca="1" si="6"/>
        <v>34</v>
      </c>
      <c r="C129" s="7">
        <f>MATCH(Salary[[#This Row],[ماه]],Calc!$A$16:$A$27,0)</f>
        <v>3</v>
      </c>
      <c r="D129" s="8" t="s">
        <v>88</v>
      </c>
      <c r="E129" s="9">
        <f t="shared" ca="1" si="11"/>
        <v>9566000</v>
      </c>
      <c r="F129" s="9"/>
      <c r="G129" s="9">
        <f t="shared" ca="1" si="7"/>
        <v>9566000</v>
      </c>
      <c r="H129" s="9">
        <f t="shared" ca="1" si="8"/>
        <v>2200180</v>
      </c>
      <c r="I129" s="9">
        <f t="shared" ca="1" si="9"/>
        <v>669620.00000000012</v>
      </c>
      <c r="J129" s="22">
        <f ca="1">IF(Salary[[#This Row],[پایه حقوق]]&lt;=5600000,0,(Salary[[#This Row],[پایه حقوق]]-5600000)*0.1)</f>
        <v>396600</v>
      </c>
      <c r="K129" s="16">
        <f t="shared" ca="1" si="10"/>
        <v>8499780</v>
      </c>
    </row>
    <row r="130" spans="1:11">
      <c r="A130" s="15">
        <v>9988165</v>
      </c>
      <c r="B130" s="7">
        <f t="shared" ref="B130:B193" ca="1" si="12">RANDBETWEEN(30,100)</f>
        <v>76</v>
      </c>
      <c r="C130" s="7">
        <f>MATCH(Salary[[#This Row],[ماه]],Calc!$A$16:$A$27,0)</f>
        <v>3</v>
      </c>
      <c r="D130" s="8" t="s">
        <v>88</v>
      </c>
      <c r="E130" s="9">
        <f t="shared" ca="1" si="11"/>
        <v>7118000</v>
      </c>
      <c r="F130" s="9">
        <f ca="1">0.7*E130</f>
        <v>4982600</v>
      </c>
      <c r="G130" s="9">
        <f t="shared" ref="G130:G193" ca="1" si="13">E130+F130</f>
        <v>12100600</v>
      </c>
      <c r="H130" s="9">
        <f t="shared" ref="H130:H193" ca="1" si="14">0.23*E130</f>
        <v>1637140</v>
      </c>
      <c r="I130" s="9">
        <f t="shared" ref="I130:I193" ca="1" si="15">0.07*E130</f>
        <v>498260.00000000006</v>
      </c>
      <c r="J130" s="22">
        <f ca="1">IF(Salary[[#This Row],[پایه حقوق]]&lt;=5600000,0,(Salary[[#This Row],[پایه حقوق]]-5600000)*0.1)</f>
        <v>151800</v>
      </c>
      <c r="K130" s="16">
        <f t="shared" ref="K130:K193" ca="1" si="16">G130-I130-J130</f>
        <v>11450540</v>
      </c>
    </row>
    <row r="131" spans="1:11">
      <c r="A131" s="15">
        <v>9988236</v>
      </c>
      <c r="B131" s="7">
        <f t="shared" ca="1" si="12"/>
        <v>48</v>
      </c>
      <c r="C131" s="7">
        <f>MATCH(Salary[[#This Row],[ماه]],Calc!$A$16:$A$27,0)</f>
        <v>3</v>
      </c>
      <c r="D131" s="8" t="s">
        <v>88</v>
      </c>
      <c r="E131" s="9">
        <f t="shared" ref="E131:E194" ca="1" si="17">RANDBETWEEN(3000,15000)*1000</f>
        <v>3837000</v>
      </c>
      <c r="F131" s="9"/>
      <c r="G131" s="9">
        <f t="shared" ca="1" si="13"/>
        <v>3837000</v>
      </c>
      <c r="H131" s="9">
        <f t="shared" ca="1" si="14"/>
        <v>882510</v>
      </c>
      <c r="I131" s="9">
        <f t="shared" ca="1" si="15"/>
        <v>268590</v>
      </c>
      <c r="J131" s="22">
        <f ca="1">IF(Salary[[#This Row],[پایه حقوق]]&lt;=5600000,0,(Salary[[#This Row],[پایه حقوق]]-5600000)*0.1)</f>
        <v>0</v>
      </c>
      <c r="K131" s="16">
        <f t="shared" ca="1" si="16"/>
        <v>3568410</v>
      </c>
    </row>
    <row r="132" spans="1:11">
      <c r="A132" s="15">
        <v>9988277</v>
      </c>
      <c r="B132" s="7">
        <f t="shared" ca="1" si="12"/>
        <v>74</v>
      </c>
      <c r="C132" s="7">
        <f>MATCH(Salary[[#This Row],[ماه]],Calc!$A$16:$A$27,0)</f>
        <v>3</v>
      </c>
      <c r="D132" s="8" t="s">
        <v>88</v>
      </c>
      <c r="E132" s="9">
        <f t="shared" ca="1" si="17"/>
        <v>4946000</v>
      </c>
      <c r="F132" s="9"/>
      <c r="G132" s="9">
        <f t="shared" ca="1" si="13"/>
        <v>4946000</v>
      </c>
      <c r="H132" s="9">
        <f t="shared" ca="1" si="14"/>
        <v>1137580</v>
      </c>
      <c r="I132" s="9">
        <f t="shared" ca="1" si="15"/>
        <v>346220.00000000006</v>
      </c>
      <c r="J132" s="22">
        <f ca="1">IF(Salary[[#This Row],[پایه حقوق]]&lt;=5600000,0,(Salary[[#This Row],[پایه حقوق]]-5600000)*0.1)</f>
        <v>0</v>
      </c>
      <c r="K132" s="16">
        <f t="shared" ca="1" si="16"/>
        <v>4599780</v>
      </c>
    </row>
    <row r="133" spans="1:11">
      <c r="A133" s="15">
        <v>9988371</v>
      </c>
      <c r="B133" s="7">
        <f t="shared" ca="1" si="12"/>
        <v>86</v>
      </c>
      <c r="C133" s="7">
        <f>MATCH(Salary[[#This Row],[ماه]],Calc!$A$16:$A$27,0)</f>
        <v>3</v>
      </c>
      <c r="D133" s="8" t="s">
        <v>88</v>
      </c>
      <c r="E133" s="9">
        <f t="shared" ca="1" si="17"/>
        <v>12288000</v>
      </c>
      <c r="F133" s="8"/>
      <c r="G133" s="9">
        <f t="shared" ca="1" si="13"/>
        <v>12288000</v>
      </c>
      <c r="H133" s="9">
        <f t="shared" ca="1" si="14"/>
        <v>2826240</v>
      </c>
      <c r="I133" s="9">
        <f t="shared" ca="1" si="15"/>
        <v>860160.00000000012</v>
      </c>
      <c r="J133" s="22">
        <f ca="1">IF(Salary[[#This Row],[پایه حقوق]]&lt;=5600000,0,(Salary[[#This Row],[پایه حقوق]]-5600000)*0.1)</f>
        <v>668800</v>
      </c>
      <c r="K133" s="16">
        <f t="shared" ca="1" si="16"/>
        <v>10759040</v>
      </c>
    </row>
    <row r="134" spans="1:11">
      <c r="A134" s="15">
        <v>9988393</v>
      </c>
      <c r="B134" s="7">
        <f t="shared" ca="1" si="12"/>
        <v>93</v>
      </c>
      <c r="C134" s="7">
        <f>MATCH(Salary[[#This Row],[ماه]],Calc!$A$16:$A$27,0)</f>
        <v>3</v>
      </c>
      <c r="D134" s="8" t="s">
        <v>88</v>
      </c>
      <c r="E134" s="9">
        <f t="shared" ca="1" si="17"/>
        <v>10282000</v>
      </c>
      <c r="F134" s="8"/>
      <c r="G134" s="9">
        <f t="shared" ca="1" si="13"/>
        <v>10282000</v>
      </c>
      <c r="H134" s="9">
        <f t="shared" ca="1" si="14"/>
        <v>2364860</v>
      </c>
      <c r="I134" s="9">
        <f t="shared" ca="1" si="15"/>
        <v>719740.00000000012</v>
      </c>
      <c r="J134" s="22">
        <f ca="1">IF(Salary[[#This Row],[پایه حقوق]]&lt;=5600000,0,(Salary[[#This Row],[پایه حقوق]]-5600000)*0.1)</f>
        <v>468200</v>
      </c>
      <c r="K134" s="16">
        <f t="shared" ca="1" si="16"/>
        <v>9094060</v>
      </c>
    </row>
    <row r="135" spans="1:11">
      <c r="A135" s="15">
        <v>9988453</v>
      </c>
      <c r="B135" s="7">
        <f t="shared" ca="1" si="12"/>
        <v>60</v>
      </c>
      <c r="C135" s="7">
        <f>MATCH(Salary[[#This Row],[ماه]],Calc!$A$16:$A$27,0)</f>
        <v>3</v>
      </c>
      <c r="D135" s="8" t="s">
        <v>88</v>
      </c>
      <c r="E135" s="9">
        <f t="shared" ca="1" si="17"/>
        <v>12914000</v>
      </c>
      <c r="F135" s="8"/>
      <c r="G135" s="9">
        <f t="shared" ca="1" si="13"/>
        <v>12914000</v>
      </c>
      <c r="H135" s="9">
        <f t="shared" ca="1" si="14"/>
        <v>2970220</v>
      </c>
      <c r="I135" s="9">
        <f t="shared" ca="1" si="15"/>
        <v>903980.00000000012</v>
      </c>
      <c r="J135" s="22">
        <f ca="1">IF(Salary[[#This Row],[پایه حقوق]]&lt;=5600000,0,(Salary[[#This Row],[پایه حقوق]]-5600000)*0.1)</f>
        <v>731400</v>
      </c>
      <c r="K135" s="16">
        <f t="shared" ca="1" si="16"/>
        <v>11278620</v>
      </c>
    </row>
    <row r="136" spans="1:11">
      <c r="A136" s="15">
        <v>9988492</v>
      </c>
      <c r="B136" s="7">
        <f t="shared" ca="1" si="12"/>
        <v>53</v>
      </c>
      <c r="C136" s="7">
        <f>MATCH(Salary[[#This Row],[ماه]],Calc!$A$16:$A$27,0)</f>
        <v>3</v>
      </c>
      <c r="D136" s="8" t="s">
        <v>88</v>
      </c>
      <c r="E136" s="9">
        <f t="shared" ca="1" si="17"/>
        <v>5617000</v>
      </c>
      <c r="F136" s="9">
        <f ca="1">0.7*E136</f>
        <v>3931899.9999999995</v>
      </c>
      <c r="G136" s="9">
        <f t="shared" ca="1" si="13"/>
        <v>9548900</v>
      </c>
      <c r="H136" s="9">
        <f t="shared" ca="1" si="14"/>
        <v>1291910</v>
      </c>
      <c r="I136" s="9">
        <f t="shared" ca="1" si="15"/>
        <v>393190.00000000006</v>
      </c>
      <c r="J136" s="22">
        <f ca="1">IF(Salary[[#This Row],[پایه حقوق]]&lt;=5600000,0,(Salary[[#This Row],[پایه حقوق]]-5600000)*0.1)</f>
        <v>1700</v>
      </c>
      <c r="K136" s="16">
        <f t="shared" ca="1" si="16"/>
        <v>9154010</v>
      </c>
    </row>
    <row r="137" spans="1:11">
      <c r="A137" s="15">
        <v>9988572</v>
      </c>
      <c r="B137" s="7">
        <f t="shared" ca="1" si="12"/>
        <v>81</v>
      </c>
      <c r="C137" s="7">
        <f>MATCH(Salary[[#This Row],[ماه]],Calc!$A$16:$A$27,0)</f>
        <v>3</v>
      </c>
      <c r="D137" s="8" t="s">
        <v>88</v>
      </c>
      <c r="E137" s="9">
        <f t="shared" ca="1" si="17"/>
        <v>8600000</v>
      </c>
      <c r="F137" s="8"/>
      <c r="G137" s="9">
        <f t="shared" ca="1" si="13"/>
        <v>8600000</v>
      </c>
      <c r="H137" s="9">
        <f t="shared" ca="1" si="14"/>
        <v>1978000</v>
      </c>
      <c r="I137" s="9">
        <f t="shared" ca="1" si="15"/>
        <v>602000</v>
      </c>
      <c r="J137" s="22">
        <f ca="1">IF(Salary[[#This Row],[پایه حقوق]]&lt;=5600000,0,(Salary[[#This Row],[پایه حقوق]]-5600000)*0.1)</f>
        <v>300000</v>
      </c>
      <c r="K137" s="16">
        <f t="shared" ca="1" si="16"/>
        <v>7698000</v>
      </c>
    </row>
    <row r="138" spans="1:11">
      <c r="A138" s="15">
        <v>9988618</v>
      </c>
      <c r="B138" s="7">
        <f t="shared" ca="1" si="12"/>
        <v>30</v>
      </c>
      <c r="C138" s="7">
        <f>MATCH(Salary[[#This Row],[ماه]],Calc!$A$16:$A$27,0)</f>
        <v>3</v>
      </c>
      <c r="D138" s="8" t="s">
        <v>88</v>
      </c>
      <c r="E138" s="9">
        <f t="shared" ca="1" si="17"/>
        <v>14521000</v>
      </c>
      <c r="F138" s="8"/>
      <c r="G138" s="9">
        <f t="shared" ca="1" si="13"/>
        <v>14521000</v>
      </c>
      <c r="H138" s="9">
        <f t="shared" ca="1" si="14"/>
        <v>3339830</v>
      </c>
      <c r="I138" s="9">
        <f t="shared" ca="1" si="15"/>
        <v>1016470.0000000001</v>
      </c>
      <c r="J138" s="22">
        <f ca="1">IF(Salary[[#This Row],[پایه حقوق]]&lt;=5600000,0,(Salary[[#This Row],[پایه حقوق]]-5600000)*0.1)</f>
        <v>892100</v>
      </c>
      <c r="K138" s="16">
        <f t="shared" ca="1" si="16"/>
        <v>12612430</v>
      </c>
    </row>
    <row r="139" spans="1:11">
      <c r="A139" s="15">
        <v>9988657</v>
      </c>
      <c r="B139" s="7">
        <f t="shared" ca="1" si="12"/>
        <v>73</v>
      </c>
      <c r="C139" s="7">
        <f>MATCH(Salary[[#This Row],[ماه]],Calc!$A$16:$A$27,0)</f>
        <v>3</v>
      </c>
      <c r="D139" s="8" t="s">
        <v>88</v>
      </c>
      <c r="E139" s="9">
        <f t="shared" ca="1" si="17"/>
        <v>7937000</v>
      </c>
      <c r="F139" s="9"/>
      <c r="G139" s="9">
        <f t="shared" ca="1" si="13"/>
        <v>7937000</v>
      </c>
      <c r="H139" s="9">
        <f t="shared" ca="1" si="14"/>
        <v>1825510</v>
      </c>
      <c r="I139" s="9">
        <f t="shared" ca="1" si="15"/>
        <v>555590</v>
      </c>
      <c r="J139" s="22">
        <f ca="1">IF(Salary[[#This Row],[پایه حقوق]]&lt;=5600000,0,(Salary[[#This Row],[پایه حقوق]]-5600000)*0.1)</f>
        <v>233700</v>
      </c>
      <c r="K139" s="16">
        <f t="shared" ca="1" si="16"/>
        <v>7147710</v>
      </c>
    </row>
    <row r="140" spans="1:11">
      <c r="A140" s="15">
        <v>9988677</v>
      </c>
      <c r="B140" s="7">
        <f t="shared" ca="1" si="12"/>
        <v>50</v>
      </c>
      <c r="C140" s="7">
        <f>MATCH(Salary[[#This Row],[ماه]],Calc!$A$16:$A$27,0)</f>
        <v>3</v>
      </c>
      <c r="D140" s="8" t="s">
        <v>88</v>
      </c>
      <c r="E140" s="9">
        <f t="shared" ca="1" si="17"/>
        <v>3174000</v>
      </c>
      <c r="F140" s="9">
        <f ca="1">0.7*E140</f>
        <v>2221800</v>
      </c>
      <c r="G140" s="9">
        <f t="shared" ca="1" si="13"/>
        <v>5395800</v>
      </c>
      <c r="H140" s="9">
        <f t="shared" ca="1" si="14"/>
        <v>730020</v>
      </c>
      <c r="I140" s="9">
        <f t="shared" ca="1" si="15"/>
        <v>222180.00000000003</v>
      </c>
      <c r="J140" s="22">
        <f ca="1">IF(Salary[[#This Row],[پایه حقوق]]&lt;=5600000,0,(Salary[[#This Row],[پایه حقوق]]-5600000)*0.1)</f>
        <v>0</v>
      </c>
      <c r="K140" s="16">
        <f t="shared" ca="1" si="16"/>
        <v>5173620</v>
      </c>
    </row>
    <row r="141" spans="1:11">
      <c r="A141" s="17">
        <v>9988725</v>
      </c>
      <c r="B141" s="7">
        <f t="shared" ca="1" si="12"/>
        <v>70</v>
      </c>
      <c r="C141" s="37">
        <f>MATCH(Salary[[#This Row],[ماه]],Calc!$A$16:$A$27,0)</f>
        <v>3</v>
      </c>
      <c r="D141" s="12" t="s">
        <v>88</v>
      </c>
      <c r="E141" s="9">
        <f t="shared" ca="1" si="17"/>
        <v>6390000</v>
      </c>
      <c r="F141" s="13"/>
      <c r="G141" s="13">
        <f t="shared" ca="1" si="13"/>
        <v>6390000</v>
      </c>
      <c r="H141" s="13">
        <f t="shared" ca="1" si="14"/>
        <v>1469700</v>
      </c>
      <c r="I141" s="13">
        <f t="shared" ca="1" si="15"/>
        <v>447300.00000000006</v>
      </c>
      <c r="J141" s="22">
        <f ca="1">IF(Salary[[#This Row],[پایه حقوق]]&lt;=5600000,0,(Salary[[#This Row],[پایه حقوق]]-5600000)*0.1)</f>
        <v>79000</v>
      </c>
      <c r="K141" s="18">
        <f t="shared" ca="1" si="16"/>
        <v>5863700</v>
      </c>
    </row>
    <row r="142" spans="1:11">
      <c r="A142" s="15">
        <v>9988773</v>
      </c>
      <c r="B142" s="7">
        <f t="shared" ca="1" si="12"/>
        <v>77</v>
      </c>
      <c r="C142" s="7">
        <f>MATCH(Salary[[#This Row],[ماه]],Calc!$A$16:$A$27,0)</f>
        <v>3</v>
      </c>
      <c r="D142" s="8" t="s">
        <v>88</v>
      </c>
      <c r="E142" s="9">
        <f t="shared" ca="1" si="17"/>
        <v>7839000</v>
      </c>
      <c r="F142" s="9"/>
      <c r="G142" s="9">
        <f t="shared" ca="1" si="13"/>
        <v>7839000</v>
      </c>
      <c r="H142" s="9">
        <f t="shared" ca="1" si="14"/>
        <v>1802970</v>
      </c>
      <c r="I142" s="9">
        <f t="shared" ca="1" si="15"/>
        <v>548730</v>
      </c>
      <c r="J142" s="22">
        <f ca="1">IF(Salary[[#This Row],[پایه حقوق]]&lt;=5600000,0,(Salary[[#This Row],[پایه حقوق]]-5600000)*0.1)</f>
        <v>223900</v>
      </c>
      <c r="K142" s="16">
        <f t="shared" ca="1" si="16"/>
        <v>7066370</v>
      </c>
    </row>
    <row r="143" spans="1:11">
      <c r="A143" s="15">
        <v>9988821</v>
      </c>
      <c r="B143" s="7">
        <f t="shared" ca="1" si="12"/>
        <v>100</v>
      </c>
      <c r="C143" s="7">
        <f>MATCH(Salary[[#This Row],[ماه]],Calc!$A$16:$A$27,0)</f>
        <v>3</v>
      </c>
      <c r="D143" s="8" t="s">
        <v>88</v>
      </c>
      <c r="E143" s="9">
        <f t="shared" ca="1" si="17"/>
        <v>12296000</v>
      </c>
      <c r="F143" s="9"/>
      <c r="G143" s="9">
        <f t="shared" ca="1" si="13"/>
        <v>12296000</v>
      </c>
      <c r="H143" s="9">
        <f t="shared" ca="1" si="14"/>
        <v>2828080</v>
      </c>
      <c r="I143" s="9">
        <f t="shared" ca="1" si="15"/>
        <v>860720.00000000012</v>
      </c>
      <c r="J143" s="22">
        <f ca="1">IF(Salary[[#This Row],[پایه حقوق]]&lt;=5600000,0,(Salary[[#This Row],[پایه حقوق]]-5600000)*0.1)</f>
        <v>669600</v>
      </c>
      <c r="K143" s="16">
        <f t="shared" ca="1" si="16"/>
        <v>10765680</v>
      </c>
    </row>
    <row r="144" spans="1:11">
      <c r="A144" s="15">
        <v>9988869</v>
      </c>
      <c r="B144" s="7">
        <f t="shared" ca="1" si="12"/>
        <v>93</v>
      </c>
      <c r="C144" s="7">
        <f>MATCH(Salary[[#This Row],[ماه]],Calc!$A$16:$A$27,0)</f>
        <v>3</v>
      </c>
      <c r="D144" s="8" t="s">
        <v>88</v>
      </c>
      <c r="E144" s="9">
        <f t="shared" ca="1" si="17"/>
        <v>8802000</v>
      </c>
      <c r="F144" s="9"/>
      <c r="G144" s="9">
        <f t="shared" ca="1" si="13"/>
        <v>8802000</v>
      </c>
      <c r="H144" s="9">
        <f t="shared" ca="1" si="14"/>
        <v>2024460</v>
      </c>
      <c r="I144" s="9">
        <f t="shared" ca="1" si="15"/>
        <v>616140.00000000012</v>
      </c>
      <c r="J144" s="22">
        <f ca="1">IF(Salary[[#This Row],[پایه حقوق]]&lt;=5600000,0,(Salary[[#This Row],[پایه حقوق]]-5600000)*0.1)</f>
        <v>320200</v>
      </c>
      <c r="K144" s="16">
        <f t="shared" ca="1" si="16"/>
        <v>7865660</v>
      </c>
    </row>
    <row r="145" spans="1:11">
      <c r="A145" s="15">
        <v>9988917</v>
      </c>
      <c r="B145" s="7">
        <f t="shared" ca="1" si="12"/>
        <v>89</v>
      </c>
      <c r="C145" s="7">
        <f>MATCH(Salary[[#This Row],[ماه]],Calc!$A$16:$A$27,0)</f>
        <v>3</v>
      </c>
      <c r="D145" s="8" t="s">
        <v>88</v>
      </c>
      <c r="E145" s="9">
        <f t="shared" ca="1" si="17"/>
        <v>4118000</v>
      </c>
      <c r="F145" s="9"/>
      <c r="G145" s="9">
        <f t="shared" ca="1" si="13"/>
        <v>4118000</v>
      </c>
      <c r="H145" s="9">
        <f t="shared" ca="1" si="14"/>
        <v>947140</v>
      </c>
      <c r="I145" s="9">
        <f t="shared" ca="1" si="15"/>
        <v>288260</v>
      </c>
      <c r="J145" s="22">
        <f ca="1">IF(Salary[[#This Row],[پایه حقوق]]&lt;=5600000,0,(Salary[[#This Row],[پایه حقوق]]-5600000)*0.1)</f>
        <v>0</v>
      </c>
      <c r="K145" s="16">
        <f t="shared" ca="1" si="16"/>
        <v>3829740</v>
      </c>
    </row>
    <row r="146" spans="1:11">
      <c r="A146" s="15">
        <v>9988965</v>
      </c>
      <c r="B146" s="7">
        <f t="shared" ca="1" si="12"/>
        <v>59</v>
      </c>
      <c r="C146" s="7">
        <f>MATCH(Salary[[#This Row],[ماه]],Calc!$A$16:$A$27,0)</f>
        <v>3</v>
      </c>
      <c r="D146" s="8" t="s">
        <v>88</v>
      </c>
      <c r="E146" s="9">
        <f t="shared" ca="1" si="17"/>
        <v>4583000</v>
      </c>
      <c r="F146" s="9"/>
      <c r="G146" s="9">
        <f t="shared" ca="1" si="13"/>
        <v>4583000</v>
      </c>
      <c r="H146" s="9">
        <f t="shared" ca="1" si="14"/>
        <v>1054090</v>
      </c>
      <c r="I146" s="9">
        <f t="shared" ca="1" si="15"/>
        <v>320810.00000000006</v>
      </c>
      <c r="J146" s="22">
        <f ca="1">IF(Salary[[#This Row],[پایه حقوق]]&lt;=5600000,0,(Salary[[#This Row],[پایه حقوق]]-5600000)*0.1)</f>
        <v>0</v>
      </c>
      <c r="K146" s="16">
        <f t="shared" ca="1" si="16"/>
        <v>4262190</v>
      </c>
    </row>
    <row r="147" spans="1:11">
      <c r="A147" s="15">
        <v>9989013</v>
      </c>
      <c r="B147" s="7">
        <f t="shared" ca="1" si="12"/>
        <v>89</v>
      </c>
      <c r="C147" s="7">
        <f>MATCH(Salary[[#This Row],[ماه]],Calc!$A$16:$A$27,0)</f>
        <v>3</v>
      </c>
      <c r="D147" s="8" t="s">
        <v>88</v>
      </c>
      <c r="E147" s="9">
        <f t="shared" ca="1" si="17"/>
        <v>7032000</v>
      </c>
      <c r="F147" s="9"/>
      <c r="G147" s="9">
        <f t="shared" ca="1" si="13"/>
        <v>7032000</v>
      </c>
      <c r="H147" s="9">
        <f t="shared" ca="1" si="14"/>
        <v>1617360</v>
      </c>
      <c r="I147" s="9">
        <f t="shared" ca="1" si="15"/>
        <v>492240.00000000006</v>
      </c>
      <c r="J147" s="22">
        <f ca="1">IF(Salary[[#This Row],[پایه حقوق]]&lt;=5600000,0,(Salary[[#This Row],[پایه حقوق]]-5600000)*0.1)</f>
        <v>143200</v>
      </c>
      <c r="K147" s="16">
        <f t="shared" ca="1" si="16"/>
        <v>6396560</v>
      </c>
    </row>
    <row r="148" spans="1:11">
      <c r="A148" s="15">
        <v>9989061</v>
      </c>
      <c r="B148" s="7">
        <f t="shared" ca="1" si="12"/>
        <v>70</v>
      </c>
      <c r="C148" s="7">
        <f>MATCH(Salary[[#This Row],[ماه]],Calc!$A$16:$A$27,0)</f>
        <v>3</v>
      </c>
      <c r="D148" s="8" t="s">
        <v>88</v>
      </c>
      <c r="E148" s="9">
        <f t="shared" ca="1" si="17"/>
        <v>11449000</v>
      </c>
      <c r="F148" s="9"/>
      <c r="G148" s="9">
        <f t="shared" ca="1" si="13"/>
        <v>11449000</v>
      </c>
      <c r="H148" s="9">
        <f t="shared" ca="1" si="14"/>
        <v>2633270</v>
      </c>
      <c r="I148" s="9">
        <f t="shared" ca="1" si="15"/>
        <v>801430.00000000012</v>
      </c>
      <c r="J148" s="22">
        <f ca="1">IF(Salary[[#This Row],[پایه حقوق]]&lt;=5600000,0,(Salary[[#This Row],[پایه حقوق]]-5600000)*0.1)</f>
        <v>584900</v>
      </c>
      <c r="K148" s="16">
        <f t="shared" ca="1" si="16"/>
        <v>10062670</v>
      </c>
    </row>
    <row r="149" spans="1:11">
      <c r="A149" s="15">
        <v>9989109</v>
      </c>
      <c r="B149" s="7">
        <f t="shared" ca="1" si="12"/>
        <v>61</v>
      </c>
      <c r="C149" s="7">
        <f>MATCH(Salary[[#This Row],[ماه]],Calc!$A$16:$A$27,0)</f>
        <v>3</v>
      </c>
      <c r="D149" s="8" t="s">
        <v>88</v>
      </c>
      <c r="E149" s="9">
        <f t="shared" ca="1" si="17"/>
        <v>12859000</v>
      </c>
      <c r="F149" s="9"/>
      <c r="G149" s="9">
        <f t="shared" ca="1" si="13"/>
        <v>12859000</v>
      </c>
      <c r="H149" s="9">
        <f t="shared" ca="1" si="14"/>
        <v>2957570</v>
      </c>
      <c r="I149" s="9">
        <f t="shared" ca="1" si="15"/>
        <v>900130.00000000012</v>
      </c>
      <c r="J149" s="22">
        <f ca="1">IF(Salary[[#This Row],[پایه حقوق]]&lt;=5600000,0,(Salary[[#This Row],[پایه حقوق]]-5600000)*0.1)</f>
        <v>725900</v>
      </c>
      <c r="K149" s="16">
        <f t="shared" ca="1" si="16"/>
        <v>11232970</v>
      </c>
    </row>
    <row r="150" spans="1:11">
      <c r="A150" s="15">
        <v>9989157</v>
      </c>
      <c r="B150" s="7">
        <f t="shared" ca="1" si="12"/>
        <v>52</v>
      </c>
      <c r="C150" s="7">
        <f>MATCH(Salary[[#This Row],[ماه]],Calc!$A$16:$A$27,0)</f>
        <v>3</v>
      </c>
      <c r="D150" s="8" t="s">
        <v>88</v>
      </c>
      <c r="E150" s="9">
        <f t="shared" ca="1" si="17"/>
        <v>10493000</v>
      </c>
      <c r="F150" s="9"/>
      <c r="G150" s="9">
        <f t="shared" ca="1" si="13"/>
        <v>10493000</v>
      </c>
      <c r="H150" s="9">
        <f t="shared" ca="1" si="14"/>
        <v>2413390</v>
      </c>
      <c r="I150" s="9">
        <f t="shared" ca="1" si="15"/>
        <v>734510.00000000012</v>
      </c>
      <c r="J150" s="22">
        <f ca="1">IF(Salary[[#This Row],[پایه حقوق]]&lt;=5600000,0,(Salary[[#This Row],[پایه حقوق]]-5600000)*0.1)</f>
        <v>489300</v>
      </c>
      <c r="K150" s="16">
        <f t="shared" ca="1" si="16"/>
        <v>9269190</v>
      </c>
    </row>
    <row r="151" spans="1:11">
      <c r="A151" s="15">
        <v>9989205</v>
      </c>
      <c r="B151" s="7">
        <f t="shared" ca="1" si="12"/>
        <v>63</v>
      </c>
      <c r="C151" s="7">
        <f>MATCH(Salary[[#This Row],[ماه]],Calc!$A$16:$A$27,0)</f>
        <v>3</v>
      </c>
      <c r="D151" s="8" t="s">
        <v>88</v>
      </c>
      <c r="E151" s="9">
        <f t="shared" ca="1" si="17"/>
        <v>3337000</v>
      </c>
      <c r="F151" s="9"/>
      <c r="G151" s="9">
        <f t="shared" ca="1" si="13"/>
        <v>3337000</v>
      </c>
      <c r="H151" s="9">
        <f t="shared" ca="1" si="14"/>
        <v>767510</v>
      </c>
      <c r="I151" s="9">
        <f t="shared" ca="1" si="15"/>
        <v>233590.00000000003</v>
      </c>
      <c r="J151" s="22">
        <f ca="1">IF(Salary[[#This Row],[پایه حقوق]]&lt;=5600000,0,(Salary[[#This Row],[پایه حقوق]]-5600000)*0.1)</f>
        <v>0</v>
      </c>
      <c r="K151" s="16">
        <f t="shared" ca="1" si="16"/>
        <v>3103410</v>
      </c>
    </row>
    <row r="152" spans="1:11">
      <c r="A152" s="15">
        <v>9989253</v>
      </c>
      <c r="B152" s="7">
        <f t="shared" ca="1" si="12"/>
        <v>69</v>
      </c>
      <c r="C152" s="7">
        <f>MATCH(Salary[[#This Row],[ماه]],Calc!$A$16:$A$27,0)</f>
        <v>3</v>
      </c>
      <c r="D152" s="8" t="s">
        <v>88</v>
      </c>
      <c r="E152" s="9">
        <f t="shared" ca="1" si="17"/>
        <v>13925000</v>
      </c>
      <c r="F152" s="9"/>
      <c r="G152" s="9">
        <f t="shared" ca="1" si="13"/>
        <v>13925000</v>
      </c>
      <c r="H152" s="9">
        <f t="shared" ca="1" si="14"/>
        <v>3202750</v>
      </c>
      <c r="I152" s="9">
        <f t="shared" ca="1" si="15"/>
        <v>974750.00000000012</v>
      </c>
      <c r="J152" s="22">
        <f ca="1">IF(Salary[[#This Row],[پایه حقوق]]&lt;=5600000,0,(Salary[[#This Row],[پایه حقوق]]-5600000)*0.1)</f>
        <v>832500</v>
      </c>
      <c r="K152" s="16">
        <f t="shared" ca="1" si="16"/>
        <v>12117750</v>
      </c>
    </row>
    <row r="153" spans="1:11">
      <c r="A153" s="15">
        <v>9989301</v>
      </c>
      <c r="B153" s="7">
        <f t="shared" ca="1" si="12"/>
        <v>36</v>
      </c>
      <c r="C153" s="7">
        <f>MATCH(Salary[[#This Row],[ماه]],Calc!$A$16:$A$27,0)</f>
        <v>3</v>
      </c>
      <c r="D153" s="8" t="s">
        <v>88</v>
      </c>
      <c r="E153" s="9">
        <f t="shared" ca="1" si="17"/>
        <v>4461000</v>
      </c>
      <c r="F153" s="9"/>
      <c r="G153" s="9">
        <f t="shared" ca="1" si="13"/>
        <v>4461000</v>
      </c>
      <c r="H153" s="9">
        <f t="shared" ca="1" si="14"/>
        <v>1026030</v>
      </c>
      <c r="I153" s="9">
        <f t="shared" ca="1" si="15"/>
        <v>312270.00000000006</v>
      </c>
      <c r="J153" s="22">
        <f ca="1">IF(Salary[[#This Row],[پایه حقوق]]&lt;=5600000,0,(Salary[[#This Row],[پایه حقوق]]-5600000)*0.1)</f>
        <v>0</v>
      </c>
      <c r="K153" s="16">
        <f t="shared" ca="1" si="16"/>
        <v>4148730</v>
      </c>
    </row>
    <row r="154" spans="1:11">
      <c r="A154" s="15">
        <v>9989349</v>
      </c>
      <c r="B154" s="7">
        <f t="shared" ca="1" si="12"/>
        <v>60</v>
      </c>
      <c r="C154" s="7">
        <f>MATCH(Salary[[#This Row],[ماه]],Calc!$A$16:$A$27,0)</f>
        <v>3</v>
      </c>
      <c r="D154" s="8" t="s">
        <v>88</v>
      </c>
      <c r="E154" s="9">
        <f t="shared" ca="1" si="17"/>
        <v>9646000</v>
      </c>
      <c r="F154" s="9"/>
      <c r="G154" s="9">
        <f t="shared" ca="1" si="13"/>
        <v>9646000</v>
      </c>
      <c r="H154" s="9">
        <f t="shared" ca="1" si="14"/>
        <v>2218580</v>
      </c>
      <c r="I154" s="9">
        <f t="shared" ca="1" si="15"/>
        <v>675220.00000000012</v>
      </c>
      <c r="J154" s="22">
        <f ca="1">IF(Salary[[#This Row],[پایه حقوق]]&lt;=5600000,0,(Salary[[#This Row],[پایه حقوق]]-5600000)*0.1)</f>
        <v>404600</v>
      </c>
      <c r="K154" s="16">
        <f t="shared" ca="1" si="16"/>
        <v>8566180</v>
      </c>
    </row>
    <row r="155" spans="1:11">
      <c r="A155" s="15">
        <v>9989397</v>
      </c>
      <c r="B155" s="7">
        <f t="shared" ca="1" si="12"/>
        <v>85</v>
      </c>
      <c r="C155" s="7">
        <f>MATCH(Salary[[#This Row],[ماه]],Calc!$A$16:$A$27,0)</f>
        <v>3</v>
      </c>
      <c r="D155" s="8" t="s">
        <v>88</v>
      </c>
      <c r="E155" s="9">
        <f t="shared" ca="1" si="17"/>
        <v>6348000</v>
      </c>
      <c r="F155" s="9"/>
      <c r="G155" s="9">
        <f t="shared" ca="1" si="13"/>
        <v>6348000</v>
      </c>
      <c r="H155" s="9">
        <f t="shared" ca="1" si="14"/>
        <v>1460040</v>
      </c>
      <c r="I155" s="9">
        <f t="shared" ca="1" si="15"/>
        <v>444360.00000000006</v>
      </c>
      <c r="J155" s="22">
        <f ca="1">IF(Salary[[#This Row],[پایه حقوق]]&lt;=5600000,0,(Salary[[#This Row],[پایه حقوق]]-5600000)*0.1)</f>
        <v>74800</v>
      </c>
      <c r="K155" s="16">
        <f t="shared" ca="1" si="16"/>
        <v>5828840</v>
      </c>
    </row>
    <row r="156" spans="1:11">
      <c r="A156" s="15">
        <v>9989445</v>
      </c>
      <c r="B156" s="7">
        <f t="shared" ca="1" si="12"/>
        <v>49</v>
      </c>
      <c r="C156" s="7">
        <f>MATCH(Salary[[#This Row],[ماه]],Calc!$A$16:$A$27,0)</f>
        <v>3</v>
      </c>
      <c r="D156" s="8" t="s">
        <v>88</v>
      </c>
      <c r="E156" s="9">
        <f t="shared" ca="1" si="17"/>
        <v>8560000</v>
      </c>
      <c r="F156" s="9"/>
      <c r="G156" s="9">
        <f t="shared" ca="1" si="13"/>
        <v>8560000</v>
      </c>
      <c r="H156" s="9">
        <f t="shared" ca="1" si="14"/>
        <v>1968800</v>
      </c>
      <c r="I156" s="9">
        <f t="shared" ca="1" si="15"/>
        <v>599200</v>
      </c>
      <c r="J156" s="22">
        <f ca="1">IF(Salary[[#This Row],[پایه حقوق]]&lt;=5600000,0,(Salary[[#This Row],[پایه حقوق]]-5600000)*0.1)</f>
        <v>296000</v>
      </c>
      <c r="K156" s="16">
        <f t="shared" ca="1" si="16"/>
        <v>7664800</v>
      </c>
    </row>
    <row r="157" spans="1:11">
      <c r="A157" s="15">
        <v>9989493</v>
      </c>
      <c r="B157" s="7">
        <f t="shared" ca="1" si="12"/>
        <v>64</v>
      </c>
      <c r="C157" s="7">
        <f>MATCH(Salary[[#This Row],[ماه]],Calc!$A$16:$A$27,0)</f>
        <v>3</v>
      </c>
      <c r="D157" s="8" t="s">
        <v>88</v>
      </c>
      <c r="E157" s="9">
        <f t="shared" ca="1" si="17"/>
        <v>8166000</v>
      </c>
      <c r="F157" s="9"/>
      <c r="G157" s="9">
        <f t="shared" ca="1" si="13"/>
        <v>8166000</v>
      </c>
      <c r="H157" s="9">
        <f t="shared" ca="1" si="14"/>
        <v>1878180</v>
      </c>
      <c r="I157" s="9">
        <f t="shared" ca="1" si="15"/>
        <v>571620</v>
      </c>
      <c r="J157" s="22">
        <f ca="1">IF(Salary[[#This Row],[پایه حقوق]]&lt;=5600000,0,(Salary[[#This Row],[پایه حقوق]]-5600000)*0.1)</f>
        <v>256600</v>
      </c>
      <c r="K157" s="16">
        <f t="shared" ca="1" si="16"/>
        <v>7337780</v>
      </c>
    </row>
    <row r="158" spans="1:11">
      <c r="A158" s="15">
        <v>9989541</v>
      </c>
      <c r="B158" s="7">
        <f t="shared" ca="1" si="12"/>
        <v>36</v>
      </c>
      <c r="C158" s="7">
        <f>MATCH(Salary[[#This Row],[ماه]],Calc!$A$16:$A$27,0)</f>
        <v>3</v>
      </c>
      <c r="D158" s="8" t="s">
        <v>88</v>
      </c>
      <c r="E158" s="9">
        <f t="shared" ca="1" si="17"/>
        <v>13902000</v>
      </c>
      <c r="F158" s="9"/>
      <c r="G158" s="9">
        <f t="shared" ca="1" si="13"/>
        <v>13902000</v>
      </c>
      <c r="H158" s="9">
        <f t="shared" ca="1" si="14"/>
        <v>3197460</v>
      </c>
      <c r="I158" s="9">
        <f t="shared" ca="1" si="15"/>
        <v>973140.00000000012</v>
      </c>
      <c r="J158" s="22">
        <f ca="1">IF(Salary[[#This Row],[پایه حقوق]]&lt;=5600000,0,(Salary[[#This Row],[پایه حقوق]]-5600000)*0.1)</f>
        <v>830200</v>
      </c>
      <c r="K158" s="16">
        <f t="shared" ca="1" si="16"/>
        <v>12098660</v>
      </c>
    </row>
    <row r="159" spans="1:11">
      <c r="A159" s="15">
        <v>9989589</v>
      </c>
      <c r="B159" s="7">
        <f t="shared" ca="1" si="12"/>
        <v>48</v>
      </c>
      <c r="C159" s="7">
        <f>MATCH(Salary[[#This Row],[ماه]],Calc!$A$16:$A$27,0)</f>
        <v>3</v>
      </c>
      <c r="D159" s="8" t="s">
        <v>88</v>
      </c>
      <c r="E159" s="9">
        <f t="shared" ca="1" si="17"/>
        <v>9183000</v>
      </c>
      <c r="F159" s="9"/>
      <c r="G159" s="9">
        <f t="shared" ca="1" si="13"/>
        <v>9183000</v>
      </c>
      <c r="H159" s="9">
        <f t="shared" ca="1" si="14"/>
        <v>2112090</v>
      </c>
      <c r="I159" s="9">
        <f t="shared" ca="1" si="15"/>
        <v>642810.00000000012</v>
      </c>
      <c r="J159" s="22">
        <f ca="1">IF(Salary[[#This Row],[پایه حقوق]]&lt;=5600000,0,(Salary[[#This Row],[پایه حقوق]]-5600000)*0.1)</f>
        <v>358300</v>
      </c>
      <c r="K159" s="16">
        <f t="shared" ca="1" si="16"/>
        <v>8181890</v>
      </c>
    </row>
    <row r="160" spans="1:11">
      <c r="A160" s="15">
        <v>9989637</v>
      </c>
      <c r="B160" s="7">
        <f t="shared" ca="1" si="12"/>
        <v>37</v>
      </c>
      <c r="C160" s="7">
        <f>MATCH(Salary[[#This Row],[ماه]],Calc!$A$16:$A$27,0)</f>
        <v>3</v>
      </c>
      <c r="D160" s="8" t="s">
        <v>88</v>
      </c>
      <c r="E160" s="9">
        <f t="shared" ca="1" si="17"/>
        <v>14272000</v>
      </c>
      <c r="F160" s="9"/>
      <c r="G160" s="9">
        <f t="shared" ca="1" si="13"/>
        <v>14272000</v>
      </c>
      <c r="H160" s="9">
        <f t="shared" ca="1" si="14"/>
        <v>3282560</v>
      </c>
      <c r="I160" s="9">
        <f t="shared" ca="1" si="15"/>
        <v>999040.00000000012</v>
      </c>
      <c r="J160" s="22">
        <f ca="1">IF(Salary[[#This Row],[پایه حقوق]]&lt;=5600000,0,(Salary[[#This Row],[پایه حقوق]]-5600000)*0.1)</f>
        <v>867200</v>
      </c>
      <c r="K160" s="16">
        <f t="shared" ca="1" si="16"/>
        <v>12405760</v>
      </c>
    </row>
    <row r="161" spans="1:11">
      <c r="A161" s="17">
        <v>9989685</v>
      </c>
      <c r="B161" s="7">
        <f t="shared" ca="1" si="12"/>
        <v>70</v>
      </c>
      <c r="C161" s="37">
        <f>MATCH(Salary[[#This Row],[ماه]],Calc!$A$16:$A$27,0)</f>
        <v>3</v>
      </c>
      <c r="D161" s="12" t="s">
        <v>88</v>
      </c>
      <c r="E161" s="9">
        <f t="shared" ca="1" si="17"/>
        <v>12963000</v>
      </c>
      <c r="F161" s="13"/>
      <c r="G161" s="13">
        <f t="shared" ca="1" si="13"/>
        <v>12963000</v>
      </c>
      <c r="H161" s="13">
        <f t="shared" ca="1" si="14"/>
        <v>2981490</v>
      </c>
      <c r="I161" s="13">
        <f t="shared" ca="1" si="15"/>
        <v>907410.00000000012</v>
      </c>
      <c r="J161" s="22">
        <f ca="1">IF(Salary[[#This Row],[پایه حقوق]]&lt;=5600000,0,(Salary[[#This Row],[پایه حقوق]]-5600000)*0.1)</f>
        <v>736300</v>
      </c>
      <c r="K161" s="18">
        <f t="shared" ca="1" si="16"/>
        <v>11319290</v>
      </c>
    </row>
    <row r="162" spans="1:11">
      <c r="A162" s="15">
        <v>9989733</v>
      </c>
      <c r="B162" s="7">
        <f t="shared" ca="1" si="12"/>
        <v>99</v>
      </c>
      <c r="C162" s="7">
        <f>MATCH(Salary[[#This Row],[ماه]],Calc!$A$16:$A$27,0)</f>
        <v>3</v>
      </c>
      <c r="D162" s="8" t="s">
        <v>88</v>
      </c>
      <c r="E162" s="9">
        <f t="shared" ca="1" si="17"/>
        <v>7678000</v>
      </c>
      <c r="F162" s="9"/>
      <c r="G162" s="9">
        <f t="shared" ca="1" si="13"/>
        <v>7678000</v>
      </c>
      <c r="H162" s="9">
        <f t="shared" ca="1" si="14"/>
        <v>1765940</v>
      </c>
      <c r="I162" s="9">
        <f t="shared" ca="1" si="15"/>
        <v>537460</v>
      </c>
      <c r="J162" s="22">
        <f ca="1">IF(Salary[[#This Row],[پایه حقوق]]&lt;=5600000,0,(Salary[[#This Row],[پایه حقوق]]-5600000)*0.1)</f>
        <v>207800</v>
      </c>
      <c r="K162" s="16">
        <f t="shared" ca="1" si="16"/>
        <v>6932740</v>
      </c>
    </row>
    <row r="163" spans="1:11">
      <c r="A163" s="15">
        <v>9989781</v>
      </c>
      <c r="B163" s="7">
        <f t="shared" ca="1" si="12"/>
        <v>74</v>
      </c>
      <c r="C163" s="7">
        <f>MATCH(Salary[[#This Row],[ماه]],Calc!$A$16:$A$27,0)</f>
        <v>3</v>
      </c>
      <c r="D163" s="8" t="s">
        <v>88</v>
      </c>
      <c r="E163" s="9">
        <f t="shared" ca="1" si="17"/>
        <v>5010000</v>
      </c>
      <c r="F163" s="9"/>
      <c r="G163" s="9">
        <f t="shared" ca="1" si="13"/>
        <v>5010000</v>
      </c>
      <c r="H163" s="9">
        <f t="shared" ca="1" si="14"/>
        <v>1152300</v>
      </c>
      <c r="I163" s="9">
        <f t="shared" ca="1" si="15"/>
        <v>350700.00000000006</v>
      </c>
      <c r="J163" s="22">
        <f ca="1">IF(Salary[[#This Row],[پایه حقوق]]&lt;=5600000,0,(Salary[[#This Row],[پایه حقوق]]-5600000)*0.1)</f>
        <v>0</v>
      </c>
      <c r="K163" s="16">
        <f t="shared" ca="1" si="16"/>
        <v>4659300</v>
      </c>
    </row>
    <row r="164" spans="1:11">
      <c r="A164" s="15">
        <v>9989829</v>
      </c>
      <c r="B164" s="7">
        <f t="shared" ca="1" si="12"/>
        <v>88</v>
      </c>
      <c r="C164" s="7">
        <f>MATCH(Salary[[#This Row],[ماه]],Calc!$A$16:$A$27,0)</f>
        <v>3</v>
      </c>
      <c r="D164" s="8" t="s">
        <v>88</v>
      </c>
      <c r="E164" s="9">
        <f t="shared" ca="1" si="17"/>
        <v>10604000</v>
      </c>
      <c r="F164" s="9"/>
      <c r="G164" s="9">
        <f t="shared" ca="1" si="13"/>
        <v>10604000</v>
      </c>
      <c r="H164" s="9">
        <f t="shared" ca="1" si="14"/>
        <v>2438920</v>
      </c>
      <c r="I164" s="9">
        <f t="shared" ca="1" si="15"/>
        <v>742280.00000000012</v>
      </c>
      <c r="J164" s="22">
        <f ca="1">IF(Salary[[#This Row],[پایه حقوق]]&lt;=5600000,0,(Salary[[#This Row],[پایه حقوق]]-5600000)*0.1)</f>
        <v>500400</v>
      </c>
      <c r="K164" s="16">
        <f t="shared" ca="1" si="16"/>
        <v>9361320</v>
      </c>
    </row>
    <row r="165" spans="1:11">
      <c r="A165" s="15">
        <v>9989877</v>
      </c>
      <c r="B165" s="7">
        <f t="shared" ca="1" si="12"/>
        <v>40</v>
      </c>
      <c r="C165" s="7">
        <f>MATCH(Salary[[#This Row],[ماه]],Calc!$A$16:$A$27,0)</f>
        <v>3</v>
      </c>
      <c r="D165" s="8" t="s">
        <v>88</v>
      </c>
      <c r="E165" s="9">
        <f t="shared" ca="1" si="17"/>
        <v>14558000</v>
      </c>
      <c r="F165" s="9"/>
      <c r="G165" s="9">
        <f t="shared" ca="1" si="13"/>
        <v>14558000</v>
      </c>
      <c r="H165" s="9">
        <f t="shared" ca="1" si="14"/>
        <v>3348340</v>
      </c>
      <c r="I165" s="9">
        <f t="shared" ca="1" si="15"/>
        <v>1019060.0000000001</v>
      </c>
      <c r="J165" s="22">
        <f ca="1">IF(Salary[[#This Row],[پایه حقوق]]&lt;=5600000,0,(Salary[[#This Row],[پایه حقوق]]-5600000)*0.1)</f>
        <v>895800</v>
      </c>
      <c r="K165" s="16">
        <f t="shared" ca="1" si="16"/>
        <v>12643140</v>
      </c>
    </row>
    <row r="166" spans="1:11">
      <c r="A166" s="15">
        <v>9989925</v>
      </c>
      <c r="B166" s="7">
        <f t="shared" ca="1" si="12"/>
        <v>71</v>
      </c>
      <c r="C166" s="7">
        <f>MATCH(Salary[[#This Row],[ماه]],Calc!$A$16:$A$27,0)</f>
        <v>3</v>
      </c>
      <c r="D166" s="8" t="s">
        <v>88</v>
      </c>
      <c r="E166" s="9">
        <f t="shared" ca="1" si="17"/>
        <v>11732000</v>
      </c>
      <c r="F166" s="9"/>
      <c r="G166" s="9">
        <f t="shared" ca="1" si="13"/>
        <v>11732000</v>
      </c>
      <c r="H166" s="9">
        <f t="shared" ca="1" si="14"/>
        <v>2698360</v>
      </c>
      <c r="I166" s="9">
        <f t="shared" ca="1" si="15"/>
        <v>821240.00000000012</v>
      </c>
      <c r="J166" s="22">
        <f ca="1">IF(Salary[[#This Row],[پایه حقوق]]&lt;=5600000,0,(Salary[[#This Row],[پایه حقوق]]-5600000)*0.1)</f>
        <v>613200</v>
      </c>
      <c r="K166" s="16">
        <f t="shared" ca="1" si="16"/>
        <v>10297560</v>
      </c>
    </row>
    <row r="167" spans="1:11">
      <c r="A167" s="15">
        <v>9989973</v>
      </c>
      <c r="B167" s="7">
        <f t="shared" ca="1" si="12"/>
        <v>98</v>
      </c>
      <c r="C167" s="7">
        <f>MATCH(Salary[[#This Row],[ماه]],Calc!$A$16:$A$27,0)</f>
        <v>3</v>
      </c>
      <c r="D167" s="8" t="s">
        <v>88</v>
      </c>
      <c r="E167" s="9">
        <f t="shared" ca="1" si="17"/>
        <v>12501000</v>
      </c>
      <c r="F167" s="9"/>
      <c r="G167" s="9">
        <f t="shared" ca="1" si="13"/>
        <v>12501000</v>
      </c>
      <c r="H167" s="9">
        <f t="shared" ca="1" si="14"/>
        <v>2875230</v>
      </c>
      <c r="I167" s="9">
        <f t="shared" ca="1" si="15"/>
        <v>875070.00000000012</v>
      </c>
      <c r="J167" s="22">
        <f ca="1">IF(Salary[[#This Row],[پایه حقوق]]&lt;=5600000,0,(Salary[[#This Row],[پایه حقوق]]-5600000)*0.1)</f>
        <v>690100</v>
      </c>
      <c r="K167" s="16">
        <f t="shared" ca="1" si="16"/>
        <v>10935830</v>
      </c>
    </row>
    <row r="168" spans="1:11">
      <c r="A168" s="15">
        <v>9990021</v>
      </c>
      <c r="B168" s="7">
        <f t="shared" ca="1" si="12"/>
        <v>81</v>
      </c>
      <c r="C168" s="7">
        <f>MATCH(Salary[[#This Row],[ماه]],Calc!$A$16:$A$27,0)</f>
        <v>3</v>
      </c>
      <c r="D168" s="8" t="s">
        <v>88</v>
      </c>
      <c r="E168" s="9">
        <f t="shared" ca="1" si="17"/>
        <v>8642000</v>
      </c>
      <c r="F168" s="9"/>
      <c r="G168" s="9">
        <f t="shared" ca="1" si="13"/>
        <v>8642000</v>
      </c>
      <c r="H168" s="9">
        <f t="shared" ca="1" si="14"/>
        <v>1987660</v>
      </c>
      <c r="I168" s="9">
        <f t="shared" ca="1" si="15"/>
        <v>604940</v>
      </c>
      <c r="J168" s="22">
        <f ca="1">IF(Salary[[#This Row],[پایه حقوق]]&lt;=5600000,0,(Salary[[#This Row],[پایه حقوق]]-5600000)*0.1)</f>
        <v>304200</v>
      </c>
      <c r="K168" s="16">
        <f t="shared" ca="1" si="16"/>
        <v>7732860</v>
      </c>
    </row>
    <row r="169" spans="1:11">
      <c r="A169" s="15">
        <v>9990069</v>
      </c>
      <c r="B169" s="7">
        <f t="shared" ca="1" si="12"/>
        <v>94</v>
      </c>
      <c r="C169" s="7">
        <f>MATCH(Salary[[#This Row],[ماه]],Calc!$A$16:$A$27,0)</f>
        <v>3</v>
      </c>
      <c r="D169" s="8" t="s">
        <v>88</v>
      </c>
      <c r="E169" s="9">
        <f t="shared" ca="1" si="17"/>
        <v>6429000</v>
      </c>
      <c r="F169" s="9"/>
      <c r="G169" s="9">
        <f t="shared" ca="1" si="13"/>
        <v>6429000</v>
      </c>
      <c r="H169" s="9">
        <f t="shared" ca="1" si="14"/>
        <v>1478670</v>
      </c>
      <c r="I169" s="9">
        <f t="shared" ca="1" si="15"/>
        <v>450030.00000000006</v>
      </c>
      <c r="J169" s="22">
        <f ca="1">IF(Salary[[#This Row],[پایه حقوق]]&lt;=5600000,0,(Salary[[#This Row],[پایه حقوق]]-5600000)*0.1)</f>
        <v>82900</v>
      </c>
      <c r="K169" s="16">
        <f t="shared" ca="1" si="16"/>
        <v>5896070</v>
      </c>
    </row>
    <row r="170" spans="1:11">
      <c r="A170" s="15">
        <v>9990117</v>
      </c>
      <c r="B170" s="7">
        <f t="shared" ca="1" si="12"/>
        <v>36</v>
      </c>
      <c r="C170" s="7">
        <f>MATCH(Salary[[#This Row],[ماه]],Calc!$A$16:$A$27,0)</f>
        <v>3</v>
      </c>
      <c r="D170" s="8" t="s">
        <v>88</v>
      </c>
      <c r="E170" s="9">
        <f t="shared" ca="1" si="17"/>
        <v>4340000</v>
      </c>
      <c r="F170" s="9"/>
      <c r="G170" s="9">
        <f t="shared" ca="1" si="13"/>
        <v>4340000</v>
      </c>
      <c r="H170" s="9">
        <f t="shared" ca="1" si="14"/>
        <v>998200</v>
      </c>
      <c r="I170" s="9">
        <f t="shared" ca="1" si="15"/>
        <v>303800</v>
      </c>
      <c r="J170" s="22">
        <f ca="1">IF(Salary[[#This Row],[پایه حقوق]]&lt;=5600000,0,(Salary[[#This Row],[پایه حقوق]]-5600000)*0.1)</f>
        <v>0</v>
      </c>
      <c r="K170" s="16">
        <f t="shared" ca="1" si="16"/>
        <v>4036200</v>
      </c>
    </row>
    <row r="171" spans="1:11">
      <c r="A171" s="15">
        <v>9990165</v>
      </c>
      <c r="B171" s="7">
        <f t="shared" ca="1" si="12"/>
        <v>73</v>
      </c>
      <c r="C171" s="7">
        <f>MATCH(Salary[[#This Row],[ماه]],Calc!$A$16:$A$27,0)</f>
        <v>3</v>
      </c>
      <c r="D171" s="8" t="s">
        <v>88</v>
      </c>
      <c r="E171" s="9">
        <f t="shared" ca="1" si="17"/>
        <v>10276000</v>
      </c>
      <c r="F171" s="9"/>
      <c r="G171" s="9">
        <f t="shared" ca="1" si="13"/>
        <v>10276000</v>
      </c>
      <c r="H171" s="9">
        <f t="shared" ca="1" si="14"/>
        <v>2363480</v>
      </c>
      <c r="I171" s="9">
        <f t="shared" ca="1" si="15"/>
        <v>719320.00000000012</v>
      </c>
      <c r="J171" s="22">
        <f ca="1">IF(Salary[[#This Row],[پایه حقوق]]&lt;=5600000,0,(Salary[[#This Row],[پایه حقوق]]-5600000)*0.1)</f>
        <v>467600</v>
      </c>
      <c r="K171" s="16">
        <f t="shared" ca="1" si="16"/>
        <v>9089080</v>
      </c>
    </row>
    <row r="172" spans="1:11">
      <c r="A172" s="15">
        <v>9990213</v>
      </c>
      <c r="B172" s="7">
        <f t="shared" ca="1" si="12"/>
        <v>46</v>
      </c>
      <c r="C172" s="7">
        <f>MATCH(Salary[[#This Row],[ماه]],Calc!$A$16:$A$27,0)</f>
        <v>3</v>
      </c>
      <c r="D172" s="8" t="s">
        <v>88</v>
      </c>
      <c r="E172" s="9">
        <f t="shared" ca="1" si="17"/>
        <v>8390000</v>
      </c>
      <c r="F172" s="9"/>
      <c r="G172" s="9">
        <f t="shared" ca="1" si="13"/>
        <v>8390000</v>
      </c>
      <c r="H172" s="9">
        <f t="shared" ca="1" si="14"/>
        <v>1929700</v>
      </c>
      <c r="I172" s="9">
        <f t="shared" ca="1" si="15"/>
        <v>587300</v>
      </c>
      <c r="J172" s="22">
        <f ca="1">IF(Salary[[#This Row],[پایه حقوق]]&lt;=5600000,0,(Salary[[#This Row],[پایه حقوق]]-5600000)*0.1)</f>
        <v>279000</v>
      </c>
      <c r="K172" s="16">
        <f t="shared" ca="1" si="16"/>
        <v>7523700</v>
      </c>
    </row>
    <row r="173" spans="1:11">
      <c r="A173" s="15">
        <v>9990261</v>
      </c>
      <c r="B173" s="7">
        <f t="shared" ca="1" si="12"/>
        <v>74</v>
      </c>
      <c r="C173" s="7">
        <f>MATCH(Salary[[#This Row],[ماه]],Calc!$A$16:$A$27,0)</f>
        <v>3</v>
      </c>
      <c r="D173" s="8" t="s">
        <v>88</v>
      </c>
      <c r="E173" s="9">
        <f t="shared" ca="1" si="17"/>
        <v>6885000</v>
      </c>
      <c r="F173" s="9"/>
      <c r="G173" s="9">
        <f t="shared" ca="1" si="13"/>
        <v>6885000</v>
      </c>
      <c r="H173" s="9">
        <f t="shared" ca="1" si="14"/>
        <v>1583550</v>
      </c>
      <c r="I173" s="9">
        <f t="shared" ca="1" si="15"/>
        <v>481950.00000000006</v>
      </c>
      <c r="J173" s="22">
        <f ca="1">IF(Salary[[#This Row],[پایه حقوق]]&lt;=5600000,0,(Salary[[#This Row],[پایه حقوق]]-5600000)*0.1)</f>
        <v>128500</v>
      </c>
      <c r="K173" s="16">
        <f t="shared" ca="1" si="16"/>
        <v>6274550</v>
      </c>
    </row>
    <row r="174" spans="1:11">
      <c r="A174" s="15">
        <v>9990309</v>
      </c>
      <c r="B174" s="7">
        <f t="shared" ca="1" si="12"/>
        <v>37</v>
      </c>
      <c r="C174" s="7">
        <f>MATCH(Salary[[#This Row],[ماه]],Calc!$A$16:$A$27,0)</f>
        <v>3</v>
      </c>
      <c r="D174" s="8" t="s">
        <v>88</v>
      </c>
      <c r="E174" s="9">
        <f t="shared" ca="1" si="17"/>
        <v>9093000</v>
      </c>
      <c r="F174" s="9"/>
      <c r="G174" s="9">
        <f t="shared" ca="1" si="13"/>
        <v>9093000</v>
      </c>
      <c r="H174" s="9">
        <f t="shared" ca="1" si="14"/>
        <v>2091390</v>
      </c>
      <c r="I174" s="9">
        <f t="shared" ca="1" si="15"/>
        <v>636510.00000000012</v>
      </c>
      <c r="J174" s="22">
        <f ca="1">IF(Salary[[#This Row],[پایه حقوق]]&lt;=5600000,0,(Salary[[#This Row],[پایه حقوق]]-5600000)*0.1)</f>
        <v>349300</v>
      </c>
      <c r="K174" s="16">
        <f t="shared" ca="1" si="16"/>
        <v>8107190</v>
      </c>
    </row>
    <row r="175" spans="1:11">
      <c r="A175" s="15">
        <v>9990357</v>
      </c>
      <c r="B175" s="7">
        <f t="shared" ca="1" si="12"/>
        <v>71</v>
      </c>
      <c r="C175" s="7">
        <f>MATCH(Salary[[#This Row],[ماه]],Calc!$A$16:$A$27,0)</f>
        <v>3</v>
      </c>
      <c r="D175" s="8" t="s">
        <v>88</v>
      </c>
      <c r="E175" s="9">
        <f t="shared" ca="1" si="17"/>
        <v>9086000</v>
      </c>
      <c r="F175" s="9"/>
      <c r="G175" s="9">
        <f t="shared" ca="1" si="13"/>
        <v>9086000</v>
      </c>
      <c r="H175" s="9">
        <f t="shared" ca="1" si="14"/>
        <v>2089780</v>
      </c>
      <c r="I175" s="9">
        <f t="shared" ca="1" si="15"/>
        <v>636020.00000000012</v>
      </c>
      <c r="J175" s="22">
        <f ca="1">IF(Salary[[#This Row],[پایه حقوق]]&lt;=5600000,0,(Salary[[#This Row],[پایه حقوق]]-5600000)*0.1)</f>
        <v>348600</v>
      </c>
      <c r="K175" s="16">
        <f t="shared" ca="1" si="16"/>
        <v>8101380</v>
      </c>
    </row>
    <row r="176" spans="1:11">
      <c r="A176" s="15">
        <v>9990405</v>
      </c>
      <c r="B176" s="7">
        <f t="shared" ca="1" si="12"/>
        <v>30</v>
      </c>
      <c r="C176" s="7">
        <f>MATCH(Salary[[#This Row],[ماه]],Calc!$A$16:$A$27,0)</f>
        <v>3</v>
      </c>
      <c r="D176" s="8" t="s">
        <v>88</v>
      </c>
      <c r="E176" s="9">
        <f t="shared" ca="1" si="17"/>
        <v>14301000</v>
      </c>
      <c r="F176" s="9"/>
      <c r="G176" s="9">
        <f t="shared" ca="1" si="13"/>
        <v>14301000</v>
      </c>
      <c r="H176" s="9">
        <f t="shared" ca="1" si="14"/>
        <v>3289230</v>
      </c>
      <c r="I176" s="9">
        <f t="shared" ca="1" si="15"/>
        <v>1001070.0000000001</v>
      </c>
      <c r="J176" s="22">
        <f ca="1">IF(Salary[[#This Row],[پایه حقوق]]&lt;=5600000,0,(Salary[[#This Row],[پایه حقوق]]-5600000)*0.1)</f>
        <v>870100</v>
      </c>
      <c r="K176" s="16">
        <f t="shared" ca="1" si="16"/>
        <v>12429830</v>
      </c>
    </row>
    <row r="177" spans="1:11">
      <c r="A177" s="15">
        <v>9990453</v>
      </c>
      <c r="B177" s="7">
        <f t="shared" ca="1" si="12"/>
        <v>75</v>
      </c>
      <c r="C177" s="7">
        <f>MATCH(Salary[[#This Row],[ماه]],Calc!$A$16:$A$27,0)</f>
        <v>3</v>
      </c>
      <c r="D177" s="8" t="s">
        <v>88</v>
      </c>
      <c r="E177" s="9">
        <f t="shared" ca="1" si="17"/>
        <v>7650000</v>
      </c>
      <c r="F177" s="9"/>
      <c r="G177" s="9">
        <f t="shared" ca="1" si="13"/>
        <v>7650000</v>
      </c>
      <c r="H177" s="9">
        <f t="shared" ca="1" si="14"/>
        <v>1759500</v>
      </c>
      <c r="I177" s="9">
        <f t="shared" ca="1" si="15"/>
        <v>535500</v>
      </c>
      <c r="J177" s="22">
        <f ca="1">IF(Salary[[#This Row],[پایه حقوق]]&lt;=5600000,0,(Salary[[#This Row],[پایه حقوق]]-5600000)*0.1)</f>
        <v>205000</v>
      </c>
      <c r="K177" s="16">
        <f t="shared" ca="1" si="16"/>
        <v>6909500</v>
      </c>
    </row>
    <row r="178" spans="1:11">
      <c r="A178" s="15">
        <v>9990501</v>
      </c>
      <c r="B178" s="7">
        <f t="shared" ca="1" si="12"/>
        <v>52</v>
      </c>
      <c r="C178" s="7">
        <f>MATCH(Salary[[#This Row],[ماه]],Calc!$A$16:$A$27,0)</f>
        <v>3</v>
      </c>
      <c r="D178" s="8" t="s">
        <v>88</v>
      </c>
      <c r="E178" s="9">
        <f t="shared" ca="1" si="17"/>
        <v>12997000</v>
      </c>
      <c r="F178" s="9"/>
      <c r="G178" s="9">
        <f t="shared" ca="1" si="13"/>
        <v>12997000</v>
      </c>
      <c r="H178" s="9">
        <f t="shared" ca="1" si="14"/>
        <v>2989310</v>
      </c>
      <c r="I178" s="9">
        <f t="shared" ca="1" si="15"/>
        <v>909790.00000000012</v>
      </c>
      <c r="J178" s="22">
        <f ca="1">IF(Salary[[#This Row],[پایه حقوق]]&lt;=5600000,0,(Salary[[#This Row],[پایه حقوق]]-5600000)*0.1)</f>
        <v>739700</v>
      </c>
      <c r="K178" s="16">
        <f t="shared" ca="1" si="16"/>
        <v>11347510</v>
      </c>
    </row>
    <row r="179" spans="1:11">
      <c r="A179" s="15">
        <v>9990549</v>
      </c>
      <c r="B179" s="7">
        <f t="shared" ca="1" si="12"/>
        <v>82</v>
      </c>
      <c r="C179" s="7">
        <f>MATCH(Salary[[#This Row],[ماه]],Calc!$A$16:$A$27,0)</f>
        <v>3</v>
      </c>
      <c r="D179" s="8" t="s">
        <v>88</v>
      </c>
      <c r="E179" s="9">
        <f t="shared" ca="1" si="17"/>
        <v>3988000</v>
      </c>
      <c r="F179" s="9"/>
      <c r="G179" s="9">
        <f t="shared" ca="1" si="13"/>
        <v>3988000</v>
      </c>
      <c r="H179" s="9">
        <f t="shared" ca="1" si="14"/>
        <v>917240</v>
      </c>
      <c r="I179" s="9">
        <f t="shared" ca="1" si="15"/>
        <v>279160</v>
      </c>
      <c r="J179" s="22">
        <f ca="1">IF(Salary[[#This Row],[پایه حقوق]]&lt;=5600000,0,(Salary[[#This Row],[پایه حقوق]]-5600000)*0.1)</f>
        <v>0</v>
      </c>
      <c r="K179" s="16">
        <f t="shared" ca="1" si="16"/>
        <v>3708840</v>
      </c>
    </row>
    <row r="180" spans="1:11">
      <c r="A180" s="15">
        <v>9990597</v>
      </c>
      <c r="B180" s="7">
        <f t="shared" ca="1" si="12"/>
        <v>86</v>
      </c>
      <c r="C180" s="7">
        <f>MATCH(Salary[[#This Row],[ماه]],Calc!$A$16:$A$27,0)</f>
        <v>3</v>
      </c>
      <c r="D180" s="8" t="s">
        <v>88</v>
      </c>
      <c r="E180" s="9">
        <f t="shared" ca="1" si="17"/>
        <v>9817000</v>
      </c>
      <c r="F180" s="9"/>
      <c r="G180" s="9">
        <f t="shared" ca="1" si="13"/>
        <v>9817000</v>
      </c>
      <c r="H180" s="9">
        <f t="shared" ca="1" si="14"/>
        <v>2257910</v>
      </c>
      <c r="I180" s="9">
        <f t="shared" ca="1" si="15"/>
        <v>687190.00000000012</v>
      </c>
      <c r="J180" s="22">
        <f ca="1">IF(Salary[[#This Row],[پایه حقوق]]&lt;=5600000,0,(Salary[[#This Row],[پایه حقوق]]-5600000)*0.1)</f>
        <v>421700</v>
      </c>
      <c r="K180" s="16">
        <f t="shared" ca="1" si="16"/>
        <v>8708110</v>
      </c>
    </row>
    <row r="181" spans="1:11">
      <c r="A181" s="17">
        <v>9990645</v>
      </c>
      <c r="B181" s="7">
        <f t="shared" ca="1" si="12"/>
        <v>100</v>
      </c>
      <c r="C181" s="37">
        <f>MATCH(Salary[[#This Row],[ماه]],Calc!$A$16:$A$27,0)</f>
        <v>3</v>
      </c>
      <c r="D181" s="12" t="s">
        <v>88</v>
      </c>
      <c r="E181" s="9">
        <f t="shared" ca="1" si="17"/>
        <v>4852000</v>
      </c>
      <c r="F181" s="13"/>
      <c r="G181" s="13">
        <f t="shared" ca="1" si="13"/>
        <v>4852000</v>
      </c>
      <c r="H181" s="13">
        <f t="shared" ca="1" si="14"/>
        <v>1115960</v>
      </c>
      <c r="I181" s="13">
        <f t="shared" ca="1" si="15"/>
        <v>339640.00000000006</v>
      </c>
      <c r="J181" s="22">
        <f ca="1">IF(Salary[[#This Row],[پایه حقوق]]&lt;=5600000,0,(Salary[[#This Row],[پایه حقوق]]-5600000)*0.1)</f>
        <v>0</v>
      </c>
      <c r="K181" s="18">
        <f t="shared" ca="1" si="16"/>
        <v>4512360</v>
      </c>
    </row>
    <row r="182" spans="1:11">
      <c r="A182" s="15">
        <v>9987656</v>
      </c>
      <c r="B182" s="7">
        <f t="shared" ca="1" si="12"/>
        <v>100</v>
      </c>
      <c r="C182" s="7">
        <f>MATCH(Salary[[#This Row],[ماه]],Calc!$A$16:$A$27,0)</f>
        <v>4</v>
      </c>
      <c r="D182" s="8" t="s">
        <v>89</v>
      </c>
      <c r="E182" s="9">
        <f t="shared" ca="1" si="17"/>
        <v>14886000</v>
      </c>
      <c r="F182" s="9"/>
      <c r="G182" s="9">
        <f t="shared" ca="1" si="13"/>
        <v>14886000</v>
      </c>
      <c r="H182" s="9">
        <f t="shared" ca="1" si="14"/>
        <v>3423780</v>
      </c>
      <c r="I182" s="9">
        <f t="shared" ca="1" si="15"/>
        <v>1042020.0000000001</v>
      </c>
      <c r="J182" s="22">
        <f ca="1">IF(Salary[[#This Row],[پایه حقوق]]&lt;=5600000,0,(Salary[[#This Row],[پایه حقوق]]-5600000)*0.1)</f>
        <v>928600</v>
      </c>
      <c r="K182" s="16">
        <f t="shared" ca="1" si="16"/>
        <v>12915380</v>
      </c>
    </row>
    <row r="183" spans="1:11">
      <c r="A183" s="15">
        <v>9987728</v>
      </c>
      <c r="B183" s="7">
        <f t="shared" ca="1" si="12"/>
        <v>89</v>
      </c>
      <c r="C183" s="7">
        <f>MATCH(Salary[[#This Row],[ماه]],Calc!$A$16:$A$27,0)</f>
        <v>4</v>
      </c>
      <c r="D183" s="8" t="s">
        <v>89</v>
      </c>
      <c r="E183" s="9">
        <f t="shared" ca="1" si="17"/>
        <v>13294000</v>
      </c>
      <c r="F183" s="9"/>
      <c r="G183" s="9">
        <f t="shared" ca="1" si="13"/>
        <v>13294000</v>
      </c>
      <c r="H183" s="9">
        <f t="shared" ca="1" si="14"/>
        <v>3057620</v>
      </c>
      <c r="I183" s="9">
        <f t="shared" ca="1" si="15"/>
        <v>930580.00000000012</v>
      </c>
      <c r="J183" s="22">
        <f ca="1">IF(Salary[[#This Row],[پایه حقوق]]&lt;=5600000,0,(Salary[[#This Row],[پایه حقوق]]-5600000)*0.1)</f>
        <v>769400</v>
      </c>
      <c r="K183" s="16">
        <f t="shared" ca="1" si="16"/>
        <v>11594020</v>
      </c>
    </row>
    <row r="184" spans="1:11">
      <c r="A184" s="15">
        <v>9987826</v>
      </c>
      <c r="B184" s="7">
        <f t="shared" ca="1" si="12"/>
        <v>36</v>
      </c>
      <c r="C184" s="7">
        <f>MATCH(Salary[[#This Row],[ماه]],Calc!$A$16:$A$27,0)</f>
        <v>4</v>
      </c>
      <c r="D184" s="8" t="s">
        <v>89</v>
      </c>
      <c r="E184" s="9">
        <f t="shared" ca="1" si="17"/>
        <v>10975000</v>
      </c>
      <c r="F184" s="8"/>
      <c r="G184" s="9">
        <f t="shared" ca="1" si="13"/>
        <v>10975000</v>
      </c>
      <c r="H184" s="9">
        <f t="shared" ca="1" si="14"/>
        <v>2524250</v>
      </c>
      <c r="I184" s="9">
        <f t="shared" ca="1" si="15"/>
        <v>768250.00000000012</v>
      </c>
      <c r="J184" s="22">
        <f ca="1">IF(Salary[[#This Row],[پایه حقوق]]&lt;=5600000,0,(Salary[[#This Row],[پایه حقوق]]-5600000)*0.1)</f>
        <v>537500</v>
      </c>
      <c r="K184" s="16">
        <f t="shared" ca="1" si="16"/>
        <v>9669250</v>
      </c>
    </row>
    <row r="185" spans="1:11">
      <c r="A185" s="15">
        <v>9987915</v>
      </c>
      <c r="B185" s="7">
        <f t="shared" ca="1" si="12"/>
        <v>33</v>
      </c>
      <c r="C185" s="7">
        <f>MATCH(Salary[[#This Row],[ماه]],Calc!$A$16:$A$27,0)</f>
        <v>4</v>
      </c>
      <c r="D185" s="8" t="s">
        <v>89</v>
      </c>
      <c r="E185" s="9">
        <f t="shared" ca="1" si="17"/>
        <v>4285000</v>
      </c>
      <c r="F185" s="9"/>
      <c r="G185" s="9">
        <f t="shared" ca="1" si="13"/>
        <v>4285000</v>
      </c>
      <c r="H185" s="9">
        <f t="shared" ca="1" si="14"/>
        <v>985550</v>
      </c>
      <c r="I185" s="9">
        <f t="shared" ca="1" si="15"/>
        <v>299950</v>
      </c>
      <c r="J185" s="22">
        <f ca="1">IF(Salary[[#This Row],[پایه حقوق]]&lt;=5600000,0,(Salary[[#This Row],[پایه حقوق]]-5600000)*0.1)</f>
        <v>0</v>
      </c>
      <c r="K185" s="16">
        <f t="shared" ca="1" si="16"/>
        <v>3985050</v>
      </c>
    </row>
    <row r="186" spans="1:11">
      <c r="A186" s="15">
        <v>9987938</v>
      </c>
      <c r="B186" s="7">
        <f t="shared" ca="1" si="12"/>
        <v>99</v>
      </c>
      <c r="C186" s="7">
        <f>MATCH(Salary[[#This Row],[ماه]],Calc!$A$16:$A$27,0)</f>
        <v>4</v>
      </c>
      <c r="D186" s="8" t="s">
        <v>89</v>
      </c>
      <c r="E186" s="9">
        <f t="shared" ca="1" si="17"/>
        <v>8614000</v>
      </c>
      <c r="F186" s="8"/>
      <c r="G186" s="9">
        <f t="shared" ca="1" si="13"/>
        <v>8614000</v>
      </c>
      <c r="H186" s="9">
        <f t="shared" ca="1" si="14"/>
        <v>1981220</v>
      </c>
      <c r="I186" s="9">
        <f t="shared" ca="1" si="15"/>
        <v>602980</v>
      </c>
      <c r="J186" s="22">
        <f ca="1">IF(Salary[[#This Row],[پایه حقوق]]&lt;=5600000,0,(Salary[[#This Row],[پایه حقوق]]-5600000)*0.1)</f>
        <v>301400</v>
      </c>
      <c r="K186" s="16">
        <f t="shared" ca="1" si="16"/>
        <v>7709620</v>
      </c>
    </row>
    <row r="187" spans="1:11">
      <c r="A187" s="15">
        <v>9988023</v>
      </c>
      <c r="B187" s="7">
        <f t="shared" ca="1" si="12"/>
        <v>52</v>
      </c>
      <c r="C187" s="7">
        <f>MATCH(Salary[[#This Row],[ماه]],Calc!$A$16:$A$27,0)</f>
        <v>4</v>
      </c>
      <c r="D187" s="8" t="s">
        <v>89</v>
      </c>
      <c r="E187" s="9">
        <f t="shared" ca="1" si="17"/>
        <v>10936000</v>
      </c>
      <c r="F187" s="8"/>
      <c r="G187" s="9">
        <f t="shared" ca="1" si="13"/>
        <v>10936000</v>
      </c>
      <c r="H187" s="9">
        <f t="shared" ca="1" si="14"/>
        <v>2515280</v>
      </c>
      <c r="I187" s="9">
        <f t="shared" ca="1" si="15"/>
        <v>765520.00000000012</v>
      </c>
      <c r="J187" s="22">
        <f ca="1">IF(Salary[[#This Row],[پایه حقوق]]&lt;=5600000,0,(Salary[[#This Row],[پایه حقوق]]-5600000)*0.1)</f>
        <v>533600</v>
      </c>
      <c r="K187" s="16">
        <f t="shared" ca="1" si="16"/>
        <v>9636880</v>
      </c>
    </row>
    <row r="188" spans="1:11">
      <c r="A188" s="15">
        <v>9988106</v>
      </c>
      <c r="B188" s="7">
        <f t="shared" ca="1" si="12"/>
        <v>50</v>
      </c>
      <c r="C188" s="7">
        <f>MATCH(Salary[[#This Row],[ماه]],Calc!$A$16:$A$27,0)</f>
        <v>4</v>
      </c>
      <c r="D188" s="8" t="s">
        <v>89</v>
      </c>
      <c r="E188" s="9">
        <f t="shared" ca="1" si="17"/>
        <v>14658000</v>
      </c>
      <c r="F188" s="9">
        <f ca="1">0.7*E188</f>
        <v>10260600</v>
      </c>
      <c r="G188" s="9">
        <f t="shared" ca="1" si="13"/>
        <v>24918600</v>
      </c>
      <c r="H188" s="9">
        <f t="shared" ca="1" si="14"/>
        <v>3371340</v>
      </c>
      <c r="I188" s="9">
        <f t="shared" ca="1" si="15"/>
        <v>1026060.0000000001</v>
      </c>
      <c r="J188" s="22">
        <f ca="1">IF(Salary[[#This Row],[پایه حقوق]]&lt;=5600000,0,(Salary[[#This Row],[پایه حقوق]]-5600000)*0.1)</f>
        <v>905800</v>
      </c>
      <c r="K188" s="16">
        <f t="shared" ca="1" si="16"/>
        <v>22986740</v>
      </c>
    </row>
    <row r="189" spans="1:11">
      <c r="A189" s="15">
        <v>9988137</v>
      </c>
      <c r="B189" s="7">
        <f t="shared" ca="1" si="12"/>
        <v>62</v>
      </c>
      <c r="C189" s="7">
        <f>MATCH(Salary[[#This Row],[ماه]],Calc!$A$16:$A$27,0)</f>
        <v>4</v>
      </c>
      <c r="D189" s="8" t="s">
        <v>89</v>
      </c>
      <c r="E189" s="9">
        <f t="shared" ca="1" si="17"/>
        <v>5577000</v>
      </c>
      <c r="F189" s="9"/>
      <c r="G189" s="9">
        <f t="shared" ca="1" si="13"/>
        <v>5577000</v>
      </c>
      <c r="H189" s="9">
        <f t="shared" ca="1" si="14"/>
        <v>1282710</v>
      </c>
      <c r="I189" s="9">
        <f t="shared" ca="1" si="15"/>
        <v>390390.00000000006</v>
      </c>
      <c r="J189" s="22">
        <f ca="1">IF(Salary[[#This Row],[پایه حقوق]]&lt;=5600000,0,(Salary[[#This Row],[پایه حقوق]]-5600000)*0.1)</f>
        <v>0</v>
      </c>
      <c r="K189" s="16">
        <f t="shared" ca="1" si="16"/>
        <v>5186610</v>
      </c>
    </row>
    <row r="190" spans="1:11">
      <c r="A190" s="15">
        <v>9988165</v>
      </c>
      <c r="B190" s="7">
        <f t="shared" ca="1" si="12"/>
        <v>73</v>
      </c>
      <c r="C190" s="7">
        <f>MATCH(Salary[[#This Row],[ماه]],Calc!$A$16:$A$27,0)</f>
        <v>4</v>
      </c>
      <c r="D190" s="8" t="s">
        <v>89</v>
      </c>
      <c r="E190" s="9">
        <f t="shared" ca="1" si="17"/>
        <v>13633000</v>
      </c>
      <c r="F190" s="9"/>
      <c r="G190" s="9">
        <f t="shared" ca="1" si="13"/>
        <v>13633000</v>
      </c>
      <c r="H190" s="9">
        <f t="shared" ca="1" si="14"/>
        <v>3135590</v>
      </c>
      <c r="I190" s="9">
        <f t="shared" ca="1" si="15"/>
        <v>954310.00000000012</v>
      </c>
      <c r="J190" s="22">
        <f ca="1">IF(Salary[[#This Row],[پایه حقوق]]&lt;=5600000,0,(Salary[[#This Row],[پایه حقوق]]-5600000)*0.1)</f>
        <v>803300</v>
      </c>
      <c r="K190" s="16">
        <f t="shared" ca="1" si="16"/>
        <v>11875390</v>
      </c>
    </row>
    <row r="191" spans="1:11">
      <c r="A191" s="15">
        <v>9988236</v>
      </c>
      <c r="B191" s="7">
        <f t="shared" ca="1" si="12"/>
        <v>44</v>
      </c>
      <c r="C191" s="7">
        <f>MATCH(Salary[[#This Row],[ماه]],Calc!$A$16:$A$27,0)</f>
        <v>4</v>
      </c>
      <c r="D191" s="8" t="s">
        <v>89</v>
      </c>
      <c r="E191" s="9">
        <f t="shared" ca="1" si="17"/>
        <v>10259000</v>
      </c>
      <c r="F191" s="9"/>
      <c r="G191" s="9">
        <f t="shared" ca="1" si="13"/>
        <v>10259000</v>
      </c>
      <c r="H191" s="9">
        <f t="shared" ca="1" si="14"/>
        <v>2359570</v>
      </c>
      <c r="I191" s="9">
        <f t="shared" ca="1" si="15"/>
        <v>718130.00000000012</v>
      </c>
      <c r="J191" s="22">
        <f ca="1">IF(Salary[[#This Row],[پایه حقوق]]&lt;=5600000,0,(Salary[[#This Row],[پایه حقوق]]-5600000)*0.1)</f>
        <v>465900</v>
      </c>
      <c r="K191" s="16">
        <f t="shared" ca="1" si="16"/>
        <v>9074970</v>
      </c>
    </row>
    <row r="192" spans="1:11">
      <c r="A192" s="15">
        <v>9988277</v>
      </c>
      <c r="B192" s="7">
        <f t="shared" ca="1" si="12"/>
        <v>96</v>
      </c>
      <c r="C192" s="7">
        <f>MATCH(Salary[[#This Row],[ماه]],Calc!$A$16:$A$27,0)</f>
        <v>4</v>
      </c>
      <c r="D192" s="8" t="s">
        <v>89</v>
      </c>
      <c r="E192" s="9">
        <f t="shared" ca="1" si="17"/>
        <v>13140000</v>
      </c>
      <c r="F192" s="9"/>
      <c r="G192" s="9">
        <f t="shared" ca="1" si="13"/>
        <v>13140000</v>
      </c>
      <c r="H192" s="9">
        <f t="shared" ca="1" si="14"/>
        <v>3022200</v>
      </c>
      <c r="I192" s="9">
        <f t="shared" ca="1" si="15"/>
        <v>919800.00000000012</v>
      </c>
      <c r="J192" s="22">
        <f ca="1">IF(Salary[[#This Row],[پایه حقوق]]&lt;=5600000,0,(Salary[[#This Row],[پایه حقوق]]-5600000)*0.1)</f>
        <v>754000</v>
      </c>
      <c r="K192" s="16">
        <f t="shared" ca="1" si="16"/>
        <v>11466200</v>
      </c>
    </row>
    <row r="193" spans="1:11">
      <c r="A193" s="15">
        <v>9988371</v>
      </c>
      <c r="B193" s="7">
        <f t="shared" ca="1" si="12"/>
        <v>66</v>
      </c>
      <c r="C193" s="7">
        <f>MATCH(Salary[[#This Row],[ماه]],Calc!$A$16:$A$27,0)</f>
        <v>4</v>
      </c>
      <c r="D193" s="8" t="s">
        <v>89</v>
      </c>
      <c r="E193" s="9">
        <f t="shared" ca="1" si="17"/>
        <v>6624000</v>
      </c>
      <c r="F193" s="8"/>
      <c r="G193" s="9">
        <f t="shared" ca="1" si="13"/>
        <v>6624000</v>
      </c>
      <c r="H193" s="9">
        <f t="shared" ca="1" si="14"/>
        <v>1523520</v>
      </c>
      <c r="I193" s="9">
        <f t="shared" ca="1" si="15"/>
        <v>463680.00000000006</v>
      </c>
      <c r="J193" s="22">
        <f ca="1">IF(Salary[[#This Row],[پایه حقوق]]&lt;=5600000,0,(Salary[[#This Row],[پایه حقوق]]-5600000)*0.1)</f>
        <v>102400</v>
      </c>
      <c r="K193" s="16">
        <f t="shared" ca="1" si="16"/>
        <v>6057920</v>
      </c>
    </row>
    <row r="194" spans="1:11">
      <c r="A194" s="15">
        <v>9988393</v>
      </c>
      <c r="B194" s="7">
        <f t="shared" ref="B194:B257" ca="1" si="18">RANDBETWEEN(30,100)</f>
        <v>99</v>
      </c>
      <c r="C194" s="7">
        <f>MATCH(Salary[[#This Row],[ماه]],Calc!$A$16:$A$27,0)</f>
        <v>4</v>
      </c>
      <c r="D194" s="8" t="s">
        <v>89</v>
      </c>
      <c r="E194" s="9">
        <f t="shared" ca="1" si="17"/>
        <v>9904000</v>
      </c>
      <c r="F194" s="9">
        <f ca="1">0.7*E194</f>
        <v>6932800</v>
      </c>
      <c r="G194" s="9">
        <f t="shared" ref="G194:G257" ca="1" si="19">E194+F194</f>
        <v>16836800</v>
      </c>
      <c r="H194" s="9">
        <f t="shared" ref="H194:H257" ca="1" si="20">0.23*E194</f>
        <v>2277920</v>
      </c>
      <c r="I194" s="9">
        <f t="shared" ref="I194:I257" ca="1" si="21">0.07*E194</f>
        <v>693280.00000000012</v>
      </c>
      <c r="J194" s="22">
        <f ca="1">IF(Salary[[#This Row],[پایه حقوق]]&lt;=5600000,0,(Salary[[#This Row],[پایه حقوق]]-5600000)*0.1)</f>
        <v>430400</v>
      </c>
      <c r="K194" s="16">
        <f t="shared" ref="K194:K257" ca="1" si="22">G194-I194-J194</f>
        <v>15713120</v>
      </c>
    </row>
    <row r="195" spans="1:11">
      <c r="A195" s="15">
        <v>9988453</v>
      </c>
      <c r="B195" s="7">
        <f t="shared" ca="1" si="18"/>
        <v>59</v>
      </c>
      <c r="C195" s="7">
        <f>MATCH(Salary[[#This Row],[ماه]],Calc!$A$16:$A$27,0)</f>
        <v>4</v>
      </c>
      <c r="D195" s="8" t="s">
        <v>89</v>
      </c>
      <c r="E195" s="9">
        <f t="shared" ref="E195:E258" ca="1" si="23">RANDBETWEEN(3000,15000)*1000</f>
        <v>9574000</v>
      </c>
      <c r="F195" s="8"/>
      <c r="G195" s="9">
        <f t="shared" ca="1" si="19"/>
        <v>9574000</v>
      </c>
      <c r="H195" s="9">
        <f t="shared" ca="1" si="20"/>
        <v>2202020</v>
      </c>
      <c r="I195" s="9">
        <f t="shared" ca="1" si="21"/>
        <v>670180.00000000012</v>
      </c>
      <c r="J195" s="22">
        <f ca="1">IF(Salary[[#This Row],[پایه حقوق]]&lt;=5600000,0,(Salary[[#This Row],[پایه حقوق]]-5600000)*0.1)</f>
        <v>397400</v>
      </c>
      <c r="K195" s="16">
        <f t="shared" ca="1" si="22"/>
        <v>8506420</v>
      </c>
    </row>
    <row r="196" spans="1:11">
      <c r="A196" s="15">
        <v>9988492</v>
      </c>
      <c r="B196" s="7">
        <f t="shared" ca="1" si="18"/>
        <v>31</v>
      </c>
      <c r="C196" s="7">
        <f>MATCH(Salary[[#This Row],[ماه]],Calc!$A$16:$A$27,0)</f>
        <v>4</v>
      </c>
      <c r="D196" s="8" t="s">
        <v>89</v>
      </c>
      <c r="E196" s="9">
        <f t="shared" ca="1" si="23"/>
        <v>10853000</v>
      </c>
      <c r="F196" s="9">
        <f ca="1">0.7*E196</f>
        <v>7597099.9999999991</v>
      </c>
      <c r="G196" s="9">
        <f t="shared" ca="1" si="19"/>
        <v>18450100</v>
      </c>
      <c r="H196" s="9">
        <f t="shared" ca="1" si="20"/>
        <v>2496190</v>
      </c>
      <c r="I196" s="9">
        <f t="shared" ca="1" si="21"/>
        <v>759710.00000000012</v>
      </c>
      <c r="J196" s="22">
        <f ca="1">IF(Salary[[#This Row],[پایه حقوق]]&lt;=5600000,0,(Salary[[#This Row],[پایه حقوق]]-5600000)*0.1)</f>
        <v>525300</v>
      </c>
      <c r="K196" s="16">
        <f t="shared" ca="1" si="22"/>
        <v>17165090</v>
      </c>
    </row>
    <row r="197" spans="1:11">
      <c r="A197" s="15">
        <v>9988572</v>
      </c>
      <c r="B197" s="7">
        <f t="shared" ca="1" si="18"/>
        <v>39</v>
      </c>
      <c r="C197" s="7">
        <f>MATCH(Salary[[#This Row],[ماه]],Calc!$A$16:$A$27,0)</f>
        <v>4</v>
      </c>
      <c r="D197" s="8" t="s">
        <v>89</v>
      </c>
      <c r="E197" s="9">
        <f t="shared" ca="1" si="23"/>
        <v>13757000</v>
      </c>
      <c r="F197" s="8"/>
      <c r="G197" s="9">
        <f t="shared" ca="1" si="19"/>
        <v>13757000</v>
      </c>
      <c r="H197" s="9">
        <f t="shared" ca="1" si="20"/>
        <v>3164110</v>
      </c>
      <c r="I197" s="9">
        <f t="shared" ca="1" si="21"/>
        <v>962990.00000000012</v>
      </c>
      <c r="J197" s="22">
        <f ca="1">IF(Salary[[#This Row],[پایه حقوق]]&lt;=5600000,0,(Salary[[#This Row],[پایه حقوق]]-5600000)*0.1)</f>
        <v>815700</v>
      </c>
      <c r="K197" s="16">
        <f t="shared" ca="1" si="22"/>
        <v>11978310</v>
      </c>
    </row>
    <row r="198" spans="1:11">
      <c r="A198" s="15">
        <v>9988618</v>
      </c>
      <c r="B198" s="7">
        <f t="shared" ca="1" si="18"/>
        <v>92</v>
      </c>
      <c r="C198" s="7">
        <f>MATCH(Salary[[#This Row],[ماه]],Calc!$A$16:$A$27,0)</f>
        <v>4</v>
      </c>
      <c r="D198" s="8" t="s">
        <v>89</v>
      </c>
      <c r="E198" s="9">
        <f t="shared" ca="1" si="23"/>
        <v>5074000</v>
      </c>
      <c r="F198" s="8"/>
      <c r="G198" s="9">
        <f t="shared" ca="1" si="19"/>
        <v>5074000</v>
      </c>
      <c r="H198" s="9">
        <f t="shared" ca="1" si="20"/>
        <v>1167020</v>
      </c>
      <c r="I198" s="9">
        <f t="shared" ca="1" si="21"/>
        <v>355180.00000000006</v>
      </c>
      <c r="J198" s="22">
        <f ca="1">IF(Salary[[#This Row],[پایه حقوق]]&lt;=5600000,0,(Salary[[#This Row],[پایه حقوق]]-5600000)*0.1)</f>
        <v>0</v>
      </c>
      <c r="K198" s="16">
        <f t="shared" ca="1" si="22"/>
        <v>4718820</v>
      </c>
    </row>
    <row r="199" spans="1:11">
      <c r="A199" s="15">
        <v>9988657</v>
      </c>
      <c r="B199" s="7">
        <f t="shared" ca="1" si="18"/>
        <v>82</v>
      </c>
      <c r="C199" s="7">
        <f>MATCH(Salary[[#This Row],[ماه]],Calc!$A$16:$A$27,0)</f>
        <v>4</v>
      </c>
      <c r="D199" s="8" t="s">
        <v>89</v>
      </c>
      <c r="E199" s="9">
        <f t="shared" ca="1" si="23"/>
        <v>7197000</v>
      </c>
      <c r="F199" s="9"/>
      <c r="G199" s="9">
        <f t="shared" ca="1" si="19"/>
        <v>7197000</v>
      </c>
      <c r="H199" s="9">
        <f t="shared" ca="1" si="20"/>
        <v>1655310</v>
      </c>
      <c r="I199" s="9">
        <f t="shared" ca="1" si="21"/>
        <v>503790.00000000006</v>
      </c>
      <c r="J199" s="22">
        <f ca="1">IF(Salary[[#This Row],[پایه حقوق]]&lt;=5600000,0,(Salary[[#This Row],[پایه حقوق]]-5600000)*0.1)</f>
        <v>159700</v>
      </c>
      <c r="K199" s="16">
        <f t="shared" ca="1" si="22"/>
        <v>6533510</v>
      </c>
    </row>
    <row r="200" spans="1:11">
      <c r="A200" s="15">
        <v>9988677</v>
      </c>
      <c r="B200" s="7">
        <f t="shared" ca="1" si="18"/>
        <v>49</v>
      </c>
      <c r="C200" s="7">
        <f>MATCH(Salary[[#This Row],[ماه]],Calc!$A$16:$A$27,0)</f>
        <v>4</v>
      </c>
      <c r="D200" s="8" t="s">
        <v>89</v>
      </c>
      <c r="E200" s="9">
        <f t="shared" ca="1" si="23"/>
        <v>5705000</v>
      </c>
      <c r="F200" s="9">
        <f ca="1">0.7*E200</f>
        <v>3993499.9999999995</v>
      </c>
      <c r="G200" s="9">
        <f t="shared" ca="1" si="19"/>
        <v>9698500</v>
      </c>
      <c r="H200" s="9">
        <f t="shared" ca="1" si="20"/>
        <v>1312150</v>
      </c>
      <c r="I200" s="9">
        <f t="shared" ca="1" si="21"/>
        <v>399350.00000000006</v>
      </c>
      <c r="J200" s="22">
        <f ca="1">IF(Salary[[#This Row],[پایه حقوق]]&lt;=5600000,0,(Salary[[#This Row],[پایه حقوق]]-5600000)*0.1)</f>
        <v>10500</v>
      </c>
      <c r="K200" s="16">
        <f t="shared" ca="1" si="22"/>
        <v>9288650</v>
      </c>
    </row>
    <row r="201" spans="1:11">
      <c r="A201" s="17">
        <v>9988725</v>
      </c>
      <c r="B201" s="7">
        <f t="shared" ca="1" si="18"/>
        <v>51</v>
      </c>
      <c r="C201" s="37">
        <f>MATCH(Salary[[#This Row],[ماه]],Calc!$A$16:$A$27,0)</f>
        <v>4</v>
      </c>
      <c r="D201" s="12" t="s">
        <v>89</v>
      </c>
      <c r="E201" s="9">
        <f t="shared" ca="1" si="23"/>
        <v>11502000</v>
      </c>
      <c r="F201" s="13"/>
      <c r="G201" s="13">
        <f t="shared" ca="1" si="19"/>
        <v>11502000</v>
      </c>
      <c r="H201" s="13">
        <f t="shared" ca="1" si="20"/>
        <v>2645460</v>
      </c>
      <c r="I201" s="13">
        <f t="shared" ca="1" si="21"/>
        <v>805140.00000000012</v>
      </c>
      <c r="J201" s="22">
        <f ca="1">IF(Salary[[#This Row],[پایه حقوق]]&lt;=5600000,0,(Salary[[#This Row],[پایه حقوق]]-5600000)*0.1)</f>
        <v>590200</v>
      </c>
      <c r="K201" s="18">
        <f t="shared" ca="1" si="22"/>
        <v>10106660</v>
      </c>
    </row>
    <row r="202" spans="1:11">
      <c r="A202" s="15">
        <v>9988773</v>
      </c>
      <c r="B202" s="7">
        <f t="shared" ca="1" si="18"/>
        <v>98</v>
      </c>
      <c r="C202" s="7">
        <f>MATCH(Salary[[#This Row],[ماه]],Calc!$A$16:$A$27,0)</f>
        <v>4</v>
      </c>
      <c r="D202" s="8" t="s">
        <v>89</v>
      </c>
      <c r="E202" s="9">
        <f t="shared" ca="1" si="23"/>
        <v>7629000</v>
      </c>
      <c r="F202" s="9"/>
      <c r="G202" s="9">
        <f t="shared" ca="1" si="19"/>
        <v>7629000</v>
      </c>
      <c r="H202" s="9">
        <f t="shared" ca="1" si="20"/>
        <v>1754670</v>
      </c>
      <c r="I202" s="9">
        <f t="shared" ca="1" si="21"/>
        <v>534030</v>
      </c>
      <c r="J202" s="22">
        <f ca="1">IF(Salary[[#This Row],[پایه حقوق]]&lt;=5600000,0,(Salary[[#This Row],[پایه حقوق]]-5600000)*0.1)</f>
        <v>202900</v>
      </c>
      <c r="K202" s="16">
        <f t="shared" ca="1" si="22"/>
        <v>6892070</v>
      </c>
    </row>
    <row r="203" spans="1:11">
      <c r="A203" s="15">
        <v>9988821</v>
      </c>
      <c r="B203" s="7">
        <f t="shared" ca="1" si="18"/>
        <v>45</v>
      </c>
      <c r="C203" s="7">
        <f>MATCH(Salary[[#This Row],[ماه]],Calc!$A$16:$A$27,0)</f>
        <v>4</v>
      </c>
      <c r="D203" s="8" t="s">
        <v>89</v>
      </c>
      <c r="E203" s="9">
        <f t="shared" ca="1" si="23"/>
        <v>7264000</v>
      </c>
      <c r="F203" s="9"/>
      <c r="G203" s="9">
        <f t="shared" ca="1" si="19"/>
        <v>7264000</v>
      </c>
      <c r="H203" s="9">
        <f t="shared" ca="1" si="20"/>
        <v>1670720</v>
      </c>
      <c r="I203" s="9">
        <f t="shared" ca="1" si="21"/>
        <v>508480.00000000006</v>
      </c>
      <c r="J203" s="22">
        <f ca="1">IF(Salary[[#This Row],[پایه حقوق]]&lt;=5600000,0,(Salary[[#This Row],[پایه حقوق]]-5600000)*0.1)</f>
        <v>166400</v>
      </c>
      <c r="K203" s="16">
        <f t="shared" ca="1" si="22"/>
        <v>6589120</v>
      </c>
    </row>
    <row r="204" spans="1:11">
      <c r="A204" s="15">
        <v>9988869</v>
      </c>
      <c r="B204" s="7">
        <f t="shared" ca="1" si="18"/>
        <v>68</v>
      </c>
      <c r="C204" s="7">
        <f>MATCH(Salary[[#This Row],[ماه]],Calc!$A$16:$A$27,0)</f>
        <v>4</v>
      </c>
      <c r="D204" s="8" t="s">
        <v>89</v>
      </c>
      <c r="E204" s="9">
        <f t="shared" ca="1" si="23"/>
        <v>8530000</v>
      </c>
      <c r="F204" s="9"/>
      <c r="G204" s="9">
        <f t="shared" ca="1" si="19"/>
        <v>8530000</v>
      </c>
      <c r="H204" s="9">
        <f t="shared" ca="1" si="20"/>
        <v>1961900</v>
      </c>
      <c r="I204" s="9">
        <f t="shared" ca="1" si="21"/>
        <v>597100</v>
      </c>
      <c r="J204" s="22">
        <f ca="1">IF(Salary[[#This Row],[پایه حقوق]]&lt;=5600000,0,(Salary[[#This Row],[پایه حقوق]]-5600000)*0.1)</f>
        <v>293000</v>
      </c>
      <c r="K204" s="16">
        <f t="shared" ca="1" si="22"/>
        <v>7639900</v>
      </c>
    </row>
    <row r="205" spans="1:11">
      <c r="A205" s="15">
        <v>9988917</v>
      </c>
      <c r="B205" s="7">
        <f t="shared" ca="1" si="18"/>
        <v>63</v>
      </c>
      <c r="C205" s="7">
        <f>MATCH(Salary[[#This Row],[ماه]],Calc!$A$16:$A$27,0)</f>
        <v>4</v>
      </c>
      <c r="D205" s="8" t="s">
        <v>89</v>
      </c>
      <c r="E205" s="9">
        <f t="shared" ca="1" si="23"/>
        <v>4537000</v>
      </c>
      <c r="F205" s="9"/>
      <c r="G205" s="9">
        <f t="shared" ca="1" si="19"/>
        <v>4537000</v>
      </c>
      <c r="H205" s="9">
        <f t="shared" ca="1" si="20"/>
        <v>1043510</v>
      </c>
      <c r="I205" s="9">
        <f t="shared" ca="1" si="21"/>
        <v>317590.00000000006</v>
      </c>
      <c r="J205" s="22">
        <f ca="1">IF(Salary[[#This Row],[پایه حقوق]]&lt;=5600000,0,(Salary[[#This Row],[پایه حقوق]]-5600000)*0.1)</f>
        <v>0</v>
      </c>
      <c r="K205" s="16">
        <f t="shared" ca="1" si="22"/>
        <v>4219410</v>
      </c>
    </row>
    <row r="206" spans="1:11">
      <c r="A206" s="15">
        <v>9988965</v>
      </c>
      <c r="B206" s="7">
        <f t="shared" ca="1" si="18"/>
        <v>72</v>
      </c>
      <c r="C206" s="7">
        <f>MATCH(Salary[[#This Row],[ماه]],Calc!$A$16:$A$27,0)</f>
        <v>4</v>
      </c>
      <c r="D206" s="8" t="s">
        <v>89</v>
      </c>
      <c r="E206" s="9">
        <f t="shared" ca="1" si="23"/>
        <v>5712000</v>
      </c>
      <c r="F206" s="9"/>
      <c r="G206" s="9">
        <f t="shared" ca="1" si="19"/>
        <v>5712000</v>
      </c>
      <c r="H206" s="9">
        <f t="shared" ca="1" si="20"/>
        <v>1313760</v>
      </c>
      <c r="I206" s="9">
        <f t="shared" ca="1" si="21"/>
        <v>399840.00000000006</v>
      </c>
      <c r="J206" s="22">
        <f ca="1">IF(Salary[[#This Row],[پایه حقوق]]&lt;=5600000,0,(Salary[[#This Row],[پایه حقوق]]-5600000)*0.1)</f>
        <v>11200</v>
      </c>
      <c r="K206" s="16">
        <f t="shared" ca="1" si="22"/>
        <v>5300960</v>
      </c>
    </row>
    <row r="207" spans="1:11">
      <c r="A207" s="15">
        <v>9989013</v>
      </c>
      <c r="B207" s="7">
        <f t="shared" ca="1" si="18"/>
        <v>54</v>
      </c>
      <c r="C207" s="7">
        <f>MATCH(Salary[[#This Row],[ماه]],Calc!$A$16:$A$27,0)</f>
        <v>4</v>
      </c>
      <c r="D207" s="8" t="s">
        <v>89</v>
      </c>
      <c r="E207" s="9">
        <f t="shared" ca="1" si="23"/>
        <v>5539000</v>
      </c>
      <c r="F207" s="9"/>
      <c r="G207" s="9">
        <f t="shared" ca="1" si="19"/>
        <v>5539000</v>
      </c>
      <c r="H207" s="9">
        <f t="shared" ca="1" si="20"/>
        <v>1273970</v>
      </c>
      <c r="I207" s="9">
        <f t="shared" ca="1" si="21"/>
        <v>387730.00000000006</v>
      </c>
      <c r="J207" s="22">
        <f ca="1">IF(Salary[[#This Row],[پایه حقوق]]&lt;=5600000,0,(Salary[[#This Row],[پایه حقوق]]-5600000)*0.1)</f>
        <v>0</v>
      </c>
      <c r="K207" s="16">
        <f t="shared" ca="1" si="22"/>
        <v>5151270</v>
      </c>
    </row>
    <row r="208" spans="1:11">
      <c r="A208" s="15">
        <v>9989061</v>
      </c>
      <c r="B208" s="7">
        <f t="shared" ca="1" si="18"/>
        <v>63</v>
      </c>
      <c r="C208" s="7">
        <f>MATCH(Salary[[#This Row],[ماه]],Calc!$A$16:$A$27,0)</f>
        <v>4</v>
      </c>
      <c r="D208" s="8" t="s">
        <v>89</v>
      </c>
      <c r="E208" s="9">
        <f t="shared" ca="1" si="23"/>
        <v>6427000</v>
      </c>
      <c r="F208" s="9"/>
      <c r="G208" s="9">
        <f t="shared" ca="1" si="19"/>
        <v>6427000</v>
      </c>
      <c r="H208" s="9">
        <f t="shared" ca="1" si="20"/>
        <v>1478210</v>
      </c>
      <c r="I208" s="9">
        <f t="shared" ca="1" si="21"/>
        <v>449890.00000000006</v>
      </c>
      <c r="J208" s="22">
        <f ca="1">IF(Salary[[#This Row],[پایه حقوق]]&lt;=5600000,0,(Salary[[#This Row],[پایه حقوق]]-5600000)*0.1)</f>
        <v>82700</v>
      </c>
      <c r="K208" s="16">
        <f t="shared" ca="1" si="22"/>
        <v>5894410</v>
      </c>
    </row>
    <row r="209" spans="1:11">
      <c r="A209" s="15">
        <v>9989109</v>
      </c>
      <c r="B209" s="7">
        <f t="shared" ca="1" si="18"/>
        <v>56</v>
      </c>
      <c r="C209" s="7">
        <f>MATCH(Salary[[#This Row],[ماه]],Calc!$A$16:$A$27,0)</f>
        <v>4</v>
      </c>
      <c r="D209" s="8" t="s">
        <v>89</v>
      </c>
      <c r="E209" s="9">
        <f t="shared" ca="1" si="23"/>
        <v>3656000</v>
      </c>
      <c r="F209" s="9"/>
      <c r="G209" s="9">
        <f t="shared" ca="1" si="19"/>
        <v>3656000</v>
      </c>
      <c r="H209" s="9">
        <f t="shared" ca="1" si="20"/>
        <v>840880</v>
      </c>
      <c r="I209" s="9">
        <f t="shared" ca="1" si="21"/>
        <v>255920.00000000003</v>
      </c>
      <c r="J209" s="22">
        <f ca="1">IF(Salary[[#This Row],[پایه حقوق]]&lt;=5600000,0,(Salary[[#This Row],[پایه حقوق]]-5600000)*0.1)</f>
        <v>0</v>
      </c>
      <c r="K209" s="16">
        <f t="shared" ca="1" si="22"/>
        <v>3400080</v>
      </c>
    </row>
    <row r="210" spans="1:11">
      <c r="A210" s="15">
        <v>9989157</v>
      </c>
      <c r="B210" s="7">
        <f t="shared" ca="1" si="18"/>
        <v>63</v>
      </c>
      <c r="C210" s="7">
        <f>MATCH(Salary[[#This Row],[ماه]],Calc!$A$16:$A$27,0)</f>
        <v>4</v>
      </c>
      <c r="D210" s="8" t="s">
        <v>89</v>
      </c>
      <c r="E210" s="9">
        <f t="shared" ca="1" si="23"/>
        <v>8291000</v>
      </c>
      <c r="F210" s="9"/>
      <c r="G210" s="9">
        <f t="shared" ca="1" si="19"/>
        <v>8291000</v>
      </c>
      <c r="H210" s="9">
        <f t="shared" ca="1" si="20"/>
        <v>1906930</v>
      </c>
      <c r="I210" s="9">
        <f t="shared" ca="1" si="21"/>
        <v>580370</v>
      </c>
      <c r="J210" s="22">
        <f ca="1">IF(Salary[[#This Row],[پایه حقوق]]&lt;=5600000,0,(Salary[[#This Row],[پایه حقوق]]-5600000)*0.1)</f>
        <v>269100</v>
      </c>
      <c r="K210" s="16">
        <f t="shared" ca="1" si="22"/>
        <v>7441530</v>
      </c>
    </row>
    <row r="211" spans="1:11">
      <c r="A211" s="15">
        <v>9989205</v>
      </c>
      <c r="B211" s="7">
        <f t="shared" ca="1" si="18"/>
        <v>43</v>
      </c>
      <c r="C211" s="7">
        <f>MATCH(Salary[[#This Row],[ماه]],Calc!$A$16:$A$27,0)</f>
        <v>4</v>
      </c>
      <c r="D211" s="8" t="s">
        <v>89</v>
      </c>
      <c r="E211" s="9">
        <f t="shared" ca="1" si="23"/>
        <v>9194000</v>
      </c>
      <c r="F211" s="9"/>
      <c r="G211" s="9">
        <f t="shared" ca="1" si="19"/>
        <v>9194000</v>
      </c>
      <c r="H211" s="9">
        <f t="shared" ca="1" si="20"/>
        <v>2114620</v>
      </c>
      <c r="I211" s="9">
        <f t="shared" ca="1" si="21"/>
        <v>643580.00000000012</v>
      </c>
      <c r="J211" s="22">
        <f ca="1">IF(Salary[[#This Row],[پایه حقوق]]&lt;=5600000,0,(Salary[[#This Row],[پایه حقوق]]-5600000)*0.1)</f>
        <v>359400</v>
      </c>
      <c r="K211" s="16">
        <f t="shared" ca="1" si="22"/>
        <v>8191020</v>
      </c>
    </row>
    <row r="212" spans="1:11">
      <c r="A212" s="15">
        <v>9989253</v>
      </c>
      <c r="B212" s="7">
        <f t="shared" ca="1" si="18"/>
        <v>66</v>
      </c>
      <c r="C212" s="7">
        <f>MATCH(Salary[[#This Row],[ماه]],Calc!$A$16:$A$27,0)</f>
        <v>4</v>
      </c>
      <c r="D212" s="8" t="s">
        <v>89</v>
      </c>
      <c r="E212" s="9">
        <f t="shared" ca="1" si="23"/>
        <v>4282000</v>
      </c>
      <c r="F212" s="9"/>
      <c r="G212" s="9">
        <f t="shared" ca="1" si="19"/>
        <v>4282000</v>
      </c>
      <c r="H212" s="9">
        <f t="shared" ca="1" si="20"/>
        <v>984860</v>
      </c>
      <c r="I212" s="9">
        <f t="shared" ca="1" si="21"/>
        <v>299740</v>
      </c>
      <c r="J212" s="22">
        <f ca="1">IF(Salary[[#This Row],[پایه حقوق]]&lt;=5600000,0,(Salary[[#This Row],[پایه حقوق]]-5600000)*0.1)</f>
        <v>0</v>
      </c>
      <c r="K212" s="16">
        <f t="shared" ca="1" si="22"/>
        <v>3982260</v>
      </c>
    </row>
    <row r="213" spans="1:11">
      <c r="A213" s="15">
        <v>9989301</v>
      </c>
      <c r="B213" s="7">
        <f t="shared" ca="1" si="18"/>
        <v>93</v>
      </c>
      <c r="C213" s="7">
        <f>MATCH(Salary[[#This Row],[ماه]],Calc!$A$16:$A$27,0)</f>
        <v>4</v>
      </c>
      <c r="D213" s="8" t="s">
        <v>89</v>
      </c>
      <c r="E213" s="9">
        <f t="shared" ca="1" si="23"/>
        <v>3238000</v>
      </c>
      <c r="F213" s="9"/>
      <c r="G213" s="9">
        <f t="shared" ca="1" si="19"/>
        <v>3238000</v>
      </c>
      <c r="H213" s="9">
        <f t="shared" ca="1" si="20"/>
        <v>744740</v>
      </c>
      <c r="I213" s="9">
        <f t="shared" ca="1" si="21"/>
        <v>226660.00000000003</v>
      </c>
      <c r="J213" s="22">
        <f ca="1">IF(Salary[[#This Row],[پایه حقوق]]&lt;=5600000,0,(Salary[[#This Row],[پایه حقوق]]-5600000)*0.1)</f>
        <v>0</v>
      </c>
      <c r="K213" s="16">
        <f t="shared" ca="1" si="22"/>
        <v>3011340</v>
      </c>
    </row>
    <row r="214" spans="1:11">
      <c r="A214" s="15">
        <v>9989349</v>
      </c>
      <c r="B214" s="7">
        <f t="shared" ca="1" si="18"/>
        <v>48</v>
      </c>
      <c r="C214" s="7">
        <f>MATCH(Salary[[#This Row],[ماه]],Calc!$A$16:$A$27,0)</f>
        <v>4</v>
      </c>
      <c r="D214" s="8" t="s">
        <v>89</v>
      </c>
      <c r="E214" s="9">
        <f t="shared" ca="1" si="23"/>
        <v>13372000</v>
      </c>
      <c r="F214" s="9"/>
      <c r="G214" s="9">
        <f t="shared" ca="1" si="19"/>
        <v>13372000</v>
      </c>
      <c r="H214" s="9">
        <f t="shared" ca="1" si="20"/>
        <v>3075560</v>
      </c>
      <c r="I214" s="9">
        <f t="shared" ca="1" si="21"/>
        <v>936040.00000000012</v>
      </c>
      <c r="J214" s="22">
        <f ca="1">IF(Salary[[#This Row],[پایه حقوق]]&lt;=5600000,0,(Salary[[#This Row],[پایه حقوق]]-5600000)*0.1)</f>
        <v>777200</v>
      </c>
      <c r="K214" s="16">
        <f t="shared" ca="1" si="22"/>
        <v>11658760</v>
      </c>
    </row>
    <row r="215" spans="1:11">
      <c r="A215" s="15">
        <v>9989397</v>
      </c>
      <c r="B215" s="7">
        <f t="shared" ca="1" si="18"/>
        <v>40</v>
      </c>
      <c r="C215" s="7">
        <f>MATCH(Salary[[#This Row],[ماه]],Calc!$A$16:$A$27,0)</f>
        <v>4</v>
      </c>
      <c r="D215" s="8" t="s">
        <v>89</v>
      </c>
      <c r="E215" s="9">
        <f t="shared" ca="1" si="23"/>
        <v>9197000</v>
      </c>
      <c r="F215" s="9"/>
      <c r="G215" s="9">
        <f t="shared" ca="1" si="19"/>
        <v>9197000</v>
      </c>
      <c r="H215" s="9">
        <f t="shared" ca="1" si="20"/>
        <v>2115310</v>
      </c>
      <c r="I215" s="9">
        <f t="shared" ca="1" si="21"/>
        <v>643790.00000000012</v>
      </c>
      <c r="J215" s="22">
        <f ca="1">IF(Salary[[#This Row],[پایه حقوق]]&lt;=5600000,0,(Salary[[#This Row],[پایه حقوق]]-5600000)*0.1)</f>
        <v>359700</v>
      </c>
      <c r="K215" s="16">
        <f t="shared" ca="1" si="22"/>
        <v>8193510</v>
      </c>
    </row>
    <row r="216" spans="1:11">
      <c r="A216" s="15">
        <v>9989445</v>
      </c>
      <c r="B216" s="7">
        <f t="shared" ca="1" si="18"/>
        <v>97</v>
      </c>
      <c r="C216" s="7">
        <f>MATCH(Salary[[#This Row],[ماه]],Calc!$A$16:$A$27,0)</f>
        <v>4</v>
      </c>
      <c r="D216" s="8" t="s">
        <v>89</v>
      </c>
      <c r="E216" s="9">
        <f t="shared" ca="1" si="23"/>
        <v>6144000</v>
      </c>
      <c r="F216" s="9"/>
      <c r="G216" s="9">
        <f t="shared" ca="1" si="19"/>
        <v>6144000</v>
      </c>
      <c r="H216" s="9">
        <f t="shared" ca="1" si="20"/>
        <v>1413120</v>
      </c>
      <c r="I216" s="9">
        <f t="shared" ca="1" si="21"/>
        <v>430080.00000000006</v>
      </c>
      <c r="J216" s="22">
        <f ca="1">IF(Salary[[#This Row],[پایه حقوق]]&lt;=5600000,0,(Salary[[#This Row],[پایه حقوق]]-5600000)*0.1)</f>
        <v>54400</v>
      </c>
      <c r="K216" s="16">
        <f t="shared" ca="1" si="22"/>
        <v>5659520</v>
      </c>
    </row>
    <row r="217" spans="1:11">
      <c r="A217" s="15">
        <v>9989493</v>
      </c>
      <c r="B217" s="7">
        <f t="shared" ca="1" si="18"/>
        <v>35</v>
      </c>
      <c r="C217" s="7">
        <f>MATCH(Salary[[#This Row],[ماه]],Calc!$A$16:$A$27,0)</f>
        <v>4</v>
      </c>
      <c r="D217" s="8" t="s">
        <v>89</v>
      </c>
      <c r="E217" s="9">
        <f t="shared" ca="1" si="23"/>
        <v>11720000</v>
      </c>
      <c r="F217" s="9"/>
      <c r="G217" s="9">
        <f t="shared" ca="1" si="19"/>
        <v>11720000</v>
      </c>
      <c r="H217" s="9">
        <f t="shared" ca="1" si="20"/>
        <v>2695600</v>
      </c>
      <c r="I217" s="9">
        <f t="shared" ca="1" si="21"/>
        <v>820400.00000000012</v>
      </c>
      <c r="J217" s="22">
        <f ca="1">IF(Salary[[#This Row],[پایه حقوق]]&lt;=5600000,0,(Salary[[#This Row],[پایه حقوق]]-5600000)*0.1)</f>
        <v>612000</v>
      </c>
      <c r="K217" s="16">
        <f t="shared" ca="1" si="22"/>
        <v>10287600</v>
      </c>
    </row>
    <row r="218" spans="1:11">
      <c r="A218" s="15">
        <v>9989541</v>
      </c>
      <c r="B218" s="7">
        <f t="shared" ca="1" si="18"/>
        <v>37</v>
      </c>
      <c r="C218" s="7">
        <f>MATCH(Salary[[#This Row],[ماه]],Calc!$A$16:$A$27,0)</f>
        <v>4</v>
      </c>
      <c r="D218" s="8" t="s">
        <v>89</v>
      </c>
      <c r="E218" s="9">
        <f t="shared" ca="1" si="23"/>
        <v>8201000</v>
      </c>
      <c r="F218" s="9"/>
      <c r="G218" s="9">
        <f t="shared" ca="1" si="19"/>
        <v>8201000</v>
      </c>
      <c r="H218" s="9">
        <f t="shared" ca="1" si="20"/>
        <v>1886230</v>
      </c>
      <c r="I218" s="9">
        <f t="shared" ca="1" si="21"/>
        <v>574070</v>
      </c>
      <c r="J218" s="22">
        <f ca="1">IF(Salary[[#This Row],[پایه حقوق]]&lt;=5600000,0,(Salary[[#This Row],[پایه حقوق]]-5600000)*0.1)</f>
        <v>260100</v>
      </c>
      <c r="K218" s="16">
        <f t="shared" ca="1" si="22"/>
        <v>7366830</v>
      </c>
    </row>
    <row r="219" spans="1:11">
      <c r="A219" s="15">
        <v>9989589</v>
      </c>
      <c r="B219" s="7">
        <f t="shared" ca="1" si="18"/>
        <v>37</v>
      </c>
      <c r="C219" s="7">
        <f>MATCH(Salary[[#This Row],[ماه]],Calc!$A$16:$A$27,0)</f>
        <v>4</v>
      </c>
      <c r="D219" s="8" t="s">
        <v>89</v>
      </c>
      <c r="E219" s="9">
        <f t="shared" ca="1" si="23"/>
        <v>14441000</v>
      </c>
      <c r="F219" s="9"/>
      <c r="G219" s="9">
        <f t="shared" ca="1" si="19"/>
        <v>14441000</v>
      </c>
      <c r="H219" s="9">
        <f t="shared" ca="1" si="20"/>
        <v>3321430</v>
      </c>
      <c r="I219" s="9">
        <f t="shared" ca="1" si="21"/>
        <v>1010870.0000000001</v>
      </c>
      <c r="J219" s="22">
        <f ca="1">IF(Salary[[#This Row],[پایه حقوق]]&lt;=5600000,0,(Salary[[#This Row],[پایه حقوق]]-5600000)*0.1)</f>
        <v>884100</v>
      </c>
      <c r="K219" s="16">
        <f t="shared" ca="1" si="22"/>
        <v>12546030</v>
      </c>
    </row>
    <row r="220" spans="1:11">
      <c r="A220" s="15">
        <v>9989637</v>
      </c>
      <c r="B220" s="7">
        <f t="shared" ca="1" si="18"/>
        <v>31</v>
      </c>
      <c r="C220" s="7">
        <f>MATCH(Salary[[#This Row],[ماه]],Calc!$A$16:$A$27,0)</f>
        <v>4</v>
      </c>
      <c r="D220" s="8" t="s">
        <v>89</v>
      </c>
      <c r="E220" s="9">
        <f t="shared" ca="1" si="23"/>
        <v>8082000</v>
      </c>
      <c r="F220" s="9"/>
      <c r="G220" s="9">
        <f t="shared" ca="1" si="19"/>
        <v>8082000</v>
      </c>
      <c r="H220" s="9">
        <f t="shared" ca="1" si="20"/>
        <v>1858860</v>
      </c>
      <c r="I220" s="9">
        <f t="shared" ca="1" si="21"/>
        <v>565740</v>
      </c>
      <c r="J220" s="22">
        <f ca="1">IF(Salary[[#This Row],[پایه حقوق]]&lt;=5600000,0,(Salary[[#This Row],[پایه حقوق]]-5600000)*0.1)</f>
        <v>248200</v>
      </c>
      <c r="K220" s="16">
        <f t="shared" ca="1" si="22"/>
        <v>7268060</v>
      </c>
    </row>
    <row r="221" spans="1:11">
      <c r="A221" s="17">
        <v>9989685</v>
      </c>
      <c r="B221" s="7">
        <f t="shared" ca="1" si="18"/>
        <v>94</v>
      </c>
      <c r="C221" s="7">
        <f>MATCH(Salary[[#This Row],[ماه]],Calc!$A$16:$A$27,0)</f>
        <v>4</v>
      </c>
      <c r="D221" s="8" t="s">
        <v>89</v>
      </c>
      <c r="E221" s="9">
        <f t="shared" ca="1" si="23"/>
        <v>3917000</v>
      </c>
      <c r="F221" s="13"/>
      <c r="G221" s="13">
        <f t="shared" ca="1" si="19"/>
        <v>3917000</v>
      </c>
      <c r="H221" s="13">
        <f t="shared" ca="1" si="20"/>
        <v>900910</v>
      </c>
      <c r="I221" s="13">
        <f t="shared" ca="1" si="21"/>
        <v>274190</v>
      </c>
      <c r="J221" s="22">
        <f ca="1">IF(Salary[[#This Row],[پایه حقوق]]&lt;=5600000,0,(Salary[[#This Row],[پایه حقوق]]-5600000)*0.1)</f>
        <v>0</v>
      </c>
      <c r="K221" s="18">
        <f t="shared" ca="1" si="22"/>
        <v>3642810</v>
      </c>
    </row>
    <row r="222" spans="1:11">
      <c r="A222" s="15">
        <v>9989733</v>
      </c>
      <c r="B222" s="7">
        <f t="shared" ca="1" si="18"/>
        <v>86</v>
      </c>
      <c r="C222" s="7">
        <f>MATCH(Salary[[#This Row],[ماه]],Calc!$A$16:$A$27,0)</f>
        <v>4</v>
      </c>
      <c r="D222" s="8" t="s">
        <v>89</v>
      </c>
      <c r="E222" s="9">
        <f t="shared" ca="1" si="23"/>
        <v>10107000</v>
      </c>
      <c r="F222" s="9"/>
      <c r="G222" s="9">
        <f t="shared" ca="1" si="19"/>
        <v>10107000</v>
      </c>
      <c r="H222" s="9">
        <f t="shared" ca="1" si="20"/>
        <v>2324610</v>
      </c>
      <c r="I222" s="9">
        <f t="shared" ca="1" si="21"/>
        <v>707490.00000000012</v>
      </c>
      <c r="J222" s="22">
        <f ca="1">IF(Salary[[#This Row],[پایه حقوق]]&lt;=5600000,0,(Salary[[#This Row],[پایه حقوق]]-5600000)*0.1)</f>
        <v>450700</v>
      </c>
      <c r="K222" s="16">
        <f t="shared" ca="1" si="22"/>
        <v>8948810</v>
      </c>
    </row>
    <row r="223" spans="1:11">
      <c r="A223" s="15">
        <v>9989781</v>
      </c>
      <c r="B223" s="7">
        <f t="shared" ca="1" si="18"/>
        <v>85</v>
      </c>
      <c r="C223" s="7">
        <f>MATCH(Salary[[#This Row],[ماه]],Calc!$A$16:$A$27,0)</f>
        <v>4</v>
      </c>
      <c r="D223" s="8" t="s">
        <v>89</v>
      </c>
      <c r="E223" s="9">
        <f t="shared" ca="1" si="23"/>
        <v>12716000</v>
      </c>
      <c r="F223" s="9"/>
      <c r="G223" s="9">
        <f t="shared" ca="1" si="19"/>
        <v>12716000</v>
      </c>
      <c r="H223" s="9">
        <f t="shared" ca="1" si="20"/>
        <v>2924680</v>
      </c>
      <c r="I223" s="9">
        <f t="shared" ca="1" si="21"/>
        <v>890120.00000000012</v>
      </c>
      <c r="J223" s="22">
        <f ca="1">IF(Salary[[#This Row],[پایه حقوق]]&lt;=5600000,0,(Salary[[#This Row],[پایه حقوق]]-5600000)*0.1)</f>
        <v>711600</v>
      </c>
      <c r="K223" s="16">
        <f t="shared" ca="1" si="22"/>
        <v>11114280</v>
      </c>
    </row>
    <row r="224" spans="1:11">
      <c r="A224" s="15">
        <v>9989829</v>
      </c>
      <c r="B224" s="7">
        <f t="shared" ca="1" si="18"/>
        <v>40</v>
      </c>
      <c r="C224" s="7">
        <f>MATCH(Salary[[#This Row],[ماه]],Calc!$A$16:$A$27,0)</f>
        <v>4</v>
      </c>
      <c r="D224" s="8" t="s">
        <v>89</v>
      </c>
      <c r="E224" s="9">
        <f t="shared" ca="1" si="23"/>
        <v>3403000</v>
      </c>
      <c r="F224" s="9"/>
      <c r="G224" s="9">
        <f t="shared" ca="1" si="19"/>
        <v>3403000</v>
      </c>
      <c r="H224" s="9">
        <f t="shared" ca="1" si="20"/>
        <v>782690</v>
      </c>
      <c r="I224" s="9">
        <f t="shared" ca="1" si="21"/>
        <v>238210.00000000003</v>
      </c>
      <c r="J224" s="22">
        <f ca="1">IF(Salary[[#This Row],[پایه حقوق]]&lt;=5600000,0,(Salary[[#This Row],[پایه حقوق]]-5600000)*0.1)</f>
        <v>0</v>
      </c>
      <c r="K224" s="16">
        <f t="shared" ca="1" si="22"/>
        <v>3164790</v>
      </c>
    </row>
    <row r="225" spans="1:11">
      <c r="A225" s="15">
        <v>9989877</v>
      </c>
      <c r="B225" s="7">
        <f t="shared" ca="1" si="18"/>
        <v>68</v>
      </c>
      <c r="C225" s="7">
        <f>MATCH(Salary[[#This Row],[ماه]],Calc!$A$16:$A$27,0)</f>
        <v>4</v>
      </c>
      <c r="D225" s="8" t="s">
        <v>89</v>
      </c>
      <c r="E225" s="9">
        <f t="shared" ca="1" si="23"/>
        <v>9504000</v>
      </c>
      <c r="F225" s="9"/>
      <c r="G225" s="9">
        <f t="shared" ca="1" si="19"/>
        <v>9504000</v>
      </c>
      <c r="H225" s="9">
        <f t="shared" ca="1" si="20"/>
        <v>2185920</v>
      </c>
      <c r="I225" s="9">
        <f t="shared" ca="1" si="21"/>
        <v>665280.00000000012</v>
      </c>
      <c r="J225" s="22">
        <f ca="1">IF(Salary[[#This Row],[پایه حقوق]]&lt;=5600000,0,(Salary[[#This Row],[پایه حقوق]]-5600000)*0.1)</f>
        <v>390400</v>
      </c>
      <c r="K225" s="16">
        <f t="shared" ca="1" si="22"/>
        <v>8448320</v>
      </c>
    </row>
    <row r="226" spans="1:11">
      <c r="A226" s="15">
        <v>9989925</v>
      </c>
      <c r="B226" s="7">
        <f t="shared" ca="1" si="18"/>
        <v>87</v>
      </c>
      <c r="C226" s="7">
        <f>MATCH(Salary[[#This Row],[ماه]],Calc!$A$16:$A$27,0)</f>
        <v>4</v>
      </c>
      <c r="D226" s="8" t="s">
        <v>89</v>
      </c>
      <c r="E226" s="9">
        <f t="shared" ca="1" si="23"/>
        <v>7884000</v>
      </c>
      <c r="F226" s="9"/>
      <c r="G226" s="9">
        <f t="shared" ca="1" si="19"/>
        <v>7884000</v>
      </c>
      <c r="H226" s="9">
        <f t="shared" ca="1" si="20"/>
        <v>1813320</v>
      </c>
      <c r="I226" s="9">
        <f t="shared" ca="1" si="21"/>
        <v>551880</v>
      </c>
      <c r="J226" s="22">
        <f ca="1">IF(Salary[[#This Row],[پایه حقوق]]&lt;=5600000,0,(Salary[[#This Row],[پایه حقوق]]-5600000)*0.1)</f>
        <v>228400</v>
      </c>
      <c r="K226" s="16">
        <f t="shared" ca="1" si="22"/>
        <v>7103720</v>
      </c>
    </row>
    <row r="227" spans="1:11">
      <c r="A227" s="15">
        <v>9989973</v>
      </c>
      <c r="B227" s="7">
        <f t="shared" ca="1" si="18"/>
        <v>74</v>
      </c>
      <c r="C227" s="7">
        <f>MATCH(Salary[[#This Row],[ماه]],Calc!$A$16:$A$27,0)</f>
        <v>4</v>
      </c>
      <c r="D227" s="8" t="s">
        <v>89</v>
      </c>
      <c r="E227" s="9">
        <f t="shared" ca="1" si="23"/>
        <v>14154000</v>
      </c>
      <c r="F227" s="9"/>
      <c r="G227" s="9">
        <f t="shared" ca="1" si="19"/>
        <v>14154000</v>
      </c>
      <c r="H227" s="9">
        <f t="shared" ca="1" si="20"/>
        <v>3255420</v>
      </c>
      <c r="I227" s="9">
        <f t="shared" ca="1" si="21"/>
        <v>990780.00000000012</v>
      </c>
      <c r="J227" s="22">
        <f ca="1">IF(Salary[[#This Row],[پایه حقوق]]&lt;=5600000,0,(Salary[[#This Row],[پایه حقوق]]-5600000)*0.1)</f>
        <v>855400</v>
      </c>
      <c r="K227" s="16">
        <f t="shared" ca="1" si="22"/>
        <v>12307820</v>
      </c>
    </row>
    <row r="228" spans="1:11">
      <c r="A228" s="15">
        <v>9990021</v>
      </c>
      <c r="B228" s="7">
        <f t="shared" ca="1" si="18"/>
        <v>55</v>
      </c>
      <c r="C228" s="7">
        <f>MATCH(Salary[[#This Row],[ماه]],Calc!$A$16:$A$27,0)</f>
        <v>4</v>
      </c>
      <c r="D228" s="8" t="s">
        <v>89</v>
      </c>
      <c r="E228" s="9">
        <f t="shared" ca="1" si="23"/>
        <v>7359000</v>
      </c>
      <c r="F228" s="9"/>
      <c r="G228" s="9">
        <f t="shared" ca="1" si="19"/>
        <v>7359000</v>
      </c>
      <c r="H228" s="9">
        <f t="shared" ca="1" si="20"/>
        <v>1692570</v>
      </c>
      <c r="I228" s="9">
        <f t="shared" ca="1" si="21"/>
        <v>515130.00000000006</v>
      </c>
      <c r="J228" s="22">
        <f ca="1">IF(Salary[[#This Row],[پایه حقوق]]&lt;=5600000,0,(Salary[[#This Row],[پایه حقوق]]-5600000)*0.1)</f>
        <v>175900</v>
      </c>
      <c r="K228" s="16">
        <f t="shared" ca="1" si="22"/>
        <v>6667970</v>
      </c>
    </row>
    <row r="229" spans="1:11">
      <c r="A229" s="15">
        <v>9990069</v>
      </c>
      <c r="B229" s="7">
        <f t="shared" ca="1" si="18"/>
        <v>90</v>
      </c>
      <c r="C229" s="7">
        <f>MATCH(Salary[[#This Row],[ماه]],Calc!$A$16:$A$27,0)</f>
        <v>4</v>
      </c>
      <c r="D229" s="8" t="s">
        <v>89</v>
      </c>
      <c r="E229" s="9">
        <f t="shared" ca="1" si="23"/>
        <v>8462000</v>
      </c>
      <c r="F229" s="9"/>
      <c r="G229" s="9">
        <f t="shared" ca="1" si="19"/>
        <v>8462000</v>
      </c>
      <c r="H229" s="9">
        <f t="shared" ca="1" si="20"/>
        <v>1946260</v>
      </c>
      <c r="I229" s="9">
        <f t="shared" ca="1" si="21"/>
        <v>592340</v>
      </c>
      <c r="J229" s="22">
        <f ca="1">IF(Salary[[#This Row],[پایه حقوق]]&lt;=5600000,0,(Salary[[#This Row],[پایه حقوق]]-5600000)*0.1)</f>
        <v>286200</v>
      </c>
      <c r="K229" s="16">
        <f t="shared" ca="1" si="22"/>
        <v>7583460</v>
      </c>
    </row>
    <row r="230" spans="1:11">
      <c r="A230" s="15">
        <v>9990117</v>
      </c>
      <c r="B230" s="7">
        <f t="shared" ca="1" si="18"/>
        <v>67</v>
      </c>
      <c r="C230" s="7">
        <f>MATCH(Salary[[#This Row],[ماه]],Calc!$A$16:$A$27,0)</f>
        <v>4</v>
      </c>
      <c r="D230" s="8" t="s">
        <v>89</v>
      </c>
      <c r="E230" s="9">
        <f t="shared" ca="1" si="23"/>
        <v>11725000</v>
      </c>
      <c r="F230" s="9"/>
      <c r="G230" s="9">
        <f t="shared" ca="1" si="19"/>
        <v>11725000</v>
      </c>
      <c r="H230" s="9">
        <f t="shared" ca="1" si="20"/>
        <v>2696750</v>
      </c>
      <c r="I230" s="9">
        <f t="shared" ca="1" si="21"/>
        <v>820750.00000000012</v>
      </c>
      <c r="J230" s="22">
        <f ca="1">IF(Salary[[#This Row],[پایه حقوق]]&lt;=5600000,0,(Salary[[#This Row],[پایه حقوق]]-5600000)*0.1)</f>
        <v>612500</v>
      </c>
      <c r="K230" s="16">
        <f t="shared" ca="1" si="22"/>
        <v>10291750</v>
      </c>
    </row>
    <row r="231" spans="1:11">
      <c r="A231" s="15">
        <v>9990165</v>
      </c>
      <c r="B231" s="7">
        <f t="shared" ca="1" si="18"/>
        <v>69</v>
      </c>
      <c r="C231" s="7">
        <f>MATCH(Salary[[#This Row],[ماه]],Calc!$A$16:$A$27,0)</f>
        <v>4</v>
      </c>
      <c r="D231" s="8" t="s">
        <v>89</v>
      </c>
      <c r="E231" s="9">
        <f t="shared" ca="1" si="23"/>
        <v>6788000</v>
      </c>
      <c r="F231" s="9"/>
      <c r="G231" s="9">
        <f t="shared" ca="1" si="19"/>
        <v>6788000</v>
      </c>
      <c r="H231" s="9">
        <f t="shared" ca="1" si="20"/>
        <v>1561240</v>
      </c>
      <c r="I231" s="9">
        <f t="shared" ca="1" si="21"/>
        <v>475160.00000000006</v>
      </c>
      <c r="J231" s="22">
        <f ca="1">IF(Salary[[#This Row],[پایه حقوق]]&lt;=5600000,0,(Salary[[#This Row],[پایه حقوق]]-5600000)*0.1)</f>
        <v>118800</v>
      </c>
      <c r="K231" s="16">
        <f t="shared" ca="1" si="22"/>
        <v>6194040</v>
      </c>
    </row>
    <row r="232" spans="1:11">
      <c r="A232" s="15">
        <v>9990213</v>
      </c>
      <c r="B232" s="7">
        <f t="shared" ca="1" si="18"/>
        <v>55</v>
      </c>
      <c r="C232" s="7">
        <f>MATCH(Salary[[#This Row],[ماه]],Calc!$A$16:$A$27,0)</f>
        <v>4</v>
      </c>
      <c r="D232" s="8" t="s">
        <v>89</v>
      </c>
      <c r="E232" s="9">
        <f t="shared" ca="1" si="23"/>
        <v>9802000</v>
      </c>
      <c r="F232" s="9"/>
      <c r="G232" s="9">
        <f t="shared" ca="1" si="19"/>
        <v>9802000</v>
      </c>
      <c r="H232" s="9">
        <f t="shared" ca="1" si="20"/>
        <v>2254460</v>
      </c>
      <c r="I232" s="9">
        <f t="shared" ca="1" si="21"/>
        <v>686140.00000000012</v>
      </c>
      <c r="J232" s="22">
        <f ca="1">IF(Salary[[#This Row],[پایه حقوق]]&lt;=5600000,0,(Salary[[#This Row],[پایه حقوق]]-5600000)*0.1)</f>
        <v>420200</v>
      </c>
      <c r="K232" s="16">
        <f t="shared" ca="1" si="22"/>
        <v>8695660</v>
      </c>
    </row>
    <row r="233" spans="1:11">
      <c r="A233" s="15">
        <v>9990261</v>
      </c>
      <c r="B233" s="7">
        <f t="shared" ca="1" si="18"/>
        <v>52</v>
      </c>
      <c r="C233" s="7">
        <f>MATCH(Salary[[#This Row],[ماه]],Calc!$A$16:$A$27,0)</f>
        <v>4</v>
      </c>
      <c r="D233" s="8" t="s">
        <v>89</v>
      </c>
      <c r="E233" s="9">
        <f t="shared" ca="1" si="23"/>
        <v>6143000</v>
      </c>
      <c r="F233" s="9"/>
      <c r="G233" s="9">
        <f t="shared" ca="1" si="19"/>
        <v>6143000</v>
      </c>
      <c r="H233" s="9">
        <f t="shared" ca="1" si="20"/>
        <v>1412890</v>
      </c>
      <c r="I233" s="9">
        <f t="shared" ca="1" si="21"/>
        <v>430010.00000000006</v>
      </c>
      <c r="J233" s="22">
        <f ca="1">IF(Salary[[#This Row],[پایه حقوق]]&lt;=5600000,0,(Salary[[#This Row],[پایه حقوق]]-5600000)*0.1)</f>
        <v>54300</v>
      </c>
      <c r="K233" s="16">
        <f t="shared" ca="1" si="22"/>
        <v>5658690</v>
      </c>
    </row>
    <row r="234" spans="1:11">
      <c r="A234" s="15">
        <v>9990309</v>
      </c>
      <c r="B234" s="7">
        <f t="shared" ca="1" si="18"/>
        <v>97</v>
      </c>
      <c r="C234" s="7">
        <f>MATCH(Salary[[#This Row],[ماه]],Calc!$A$16:$A$27,0)</f>
        <v>4</v>
      </c>
      <c r="D234" s="8" t="s">
        <v>89</v>
      </c>
      <c r="E234" s="9">
        <f t="shared" ca="1" si="23"/>
        <v>4660000</v>
      </c>
      <c r="F234" s="9"/>
      <c r="G234" s="9">
        <f t="shared" ca="1" si="19"/>
        <v>4660000</v>
      </c>
      <c r="H234" s="9">
        <f t="shared" ca="1" si="20"/>
        <v>1071800</v>
      </c>
      <c r="I234" s="9">
        <f t="shared" ca="1" si="21"/>
        <v>326200.00000000006</v>
      </c>
      <c r="J234" s="22">
        <f ca="1">IF(Salary[[#This Row],[پایه حقوق]]&lt;=5600000,0,(Salary[[#This Row],[پایه حقوق]]-5600000)*0.1)</f>
        <v>0</v>
      </c>
      <c r="K234" s="16">
        <f t="shared" ca="1" si="22"/>
        <v>4333800</v>
      </c>
    </row>
    <row r="235" spans="1:11">
      <c r="A235" s="15">
        <v>9990357</v>
      </c>
      <c r="B235" s="7">
        <f t="shared" ca="1" si="18"/>
        <v>40</v>
      </c>
      <c r="C235" s="7">
        <f>MATCH(Salary[[#This Row],[ماه]],Calc!$A$16:$A$27,0)</f>
        <v>4</v>
      </c>
      <c r="D235" s="8" t="s">
        <v>89</v>
      </c>
      <c r="E235" s="9">
        <f t="shared" ca="1" si="23"/>
        <v>10018000</v>
      </c>
      <c r="F235" s="9"/>
      <c r="G235" s="9">
        <f t="shared" ca="1" si="19"/>
        <v>10018000</v>
      </c>
      <c r="H235" s="9">
        <f t="shared" ca="1" si="20"/>
        <v>2304140</v>
      </c>
      <c r="I235" s="9">
        <f t="shared" ca="1" si="21"/>
        <v>701260.00000000012</v>
      </c>
      <c r="J235" s="22">
        <f ca="1">IF(Salary[[#This Row],[پایه حقوق]]&lt;=5600000,0,(Salary[[#This Row],[پایه حقوق]]-5600000)*0.1)</f>
        <v>441800</v>
      </c>
      <c r="K235" s="16">
        <f t="shared" ca="1" si="22"/>
        <v>8874940</v>
      </c>
    </row>
    <row r="236" spans="1:11">
      <c r="A236" s="15">
        <v>9990405</v>
      </c>
      <c r="B236" s="7">
        <f t="shared" ca="1" si="18"/>
        <v>54</v>
      </c>
      <c r="C236" s="7">
        <f>MATCH(Salary[[#This Row],[ماه]],Calc!$A$16:$A$27,0)</f>
        <v>4</v>
      </c>
      <c r="D236" s="8" t="s">
        <v>89</v>
      </c>
      <c r="E236" s="9">
        <f t="shared" ca="1" si="23"/>
        <v>9952000</v>
      </c>
      <c r="F236" s="9"/>
      <c r="G236" s="9">
        <f t="shared" ca="1" si="19"/>
        <v>9952000</v>
      </c>
      <c r="H236" s="9">
        <f t="shared" ca="1" si="20"/>
        <v>2288960</v>
      </c>
      <c r="I236" s="9">
        <f t="shared" ca="1" si="21"/>
        <v>696640.00000000012</v>
      </c>
      <c r="J236" s="22">
        <f ca="1">IF(Salary[[#This Row],[پایه حقوق]]&lt;=5600000,0,(Salary[[#This Row],[پایه حقوق]]-5600000)*0.1)</f>
        <v>435200</v>
      </c>
      <c r="K236" s="16">
        <f t="shared" ca="1" si="22"/>
        <v>8820160</v>
      </c>
    </row>
    <row r="237" spans="1:11">
      <c r="A237" s="15">
        <v>9990453</v>
      </c>
      <c r="B237" s="7">
        <f t="shared" ca="1" si="18"/>
        <v>48</v>
      </c>
      <c r="C237" s="7">
        <f>MATCH(Salary[[#This Row],[ماه]],Calc!$A$16:$A$27,0)</f>
        <v>4</v>
      </c>
      <c r="D237" s="8" t="s">
        <v>89</v>
      </c>
      <c r="E237" s="9">
        <f t="shared" ca="1" si="23"/>
        <v>12224000</v>
      </c>
      <c r="F237" s="9"/>
      <c r="G237" s="9">
        <f t="shared" ca="1" si="19"/>
        <v>12224000</v>
      </c>
      <c r="H237" s="9">
        <f t="shared" ca="1" si="20"/>
        <v>2811520</v>
      </c>
      <c r="I237" s="9">
        <f t="shared" ca="1" si="21"/>
        <v>855680.00000000012</v>
      </c>
      <c r="J237" s="22">
        <f ca="1">IF(Salary[[#This Row],[پایه حقوق]]&lt;=5600000,0,(Salary[[#This Row],[پایه حقوق]]-5600000)*0.1)</f>
        <v>662400</v>
      </c>
      <c r="K237" s="16">
        <f t="shared" ca="1" si="22"/>
        <v>10705920</v>
      </c>
    </row>
    <row r="238" spans="1:11">
      <c r="A238" s="15">
        <v>9990501</v>
      </c>
      <c r="B238" s="7">
        <f t="shared" ca="1" si="18"/>
        <v>66</v>
      </c>
      <c r="C238" s="7">
        <f>MATCH(Salary[[#This Row],[ماه]],Calc!$A$16:$A$27,0)</f>
        <v>4</v>
      </c>
      <c r="D238" s="8" t="s">
        <v>89</v>
      </c>
      <c r="E238" s="9">
        <f t="shared" ca="1" si="23"/>
        <v>11286000</v>
      </c>
      <c r="F238" s="9"/>
      <c r="G238" s="9">
        <f t="shared" ca="1" si="19"/>
        <v>11286000</v>
      </c>
      <c r="H238" s="9">
        <f t="shared" ca="1" si="20"/>
        <v>2595780</v>
      </c>
      <c r="I238" s="9">
        <f t="shared" ca="1" si="21"/>
        <v>790020.00000000012</v>
      </c>
      <c r="J238" s="22">
        <f ca="1">IF(Salary[[#This Row],[پایه حقوق]]&lt;=5600000,0,(Salary[[#This Row],[پایه حقوق]]-5600000)*0.1)</f>
        <v>568600</v>
      </c>
      <c r="K238" s="16">
        <f t="shared" ca="1" si="22"/>
        <v>9927380</v>
      </c>
    </row>
    <row r="239" spans="1:11">
      <c r="A239" s="15">
        <v>9990549</v>
      </c>
      <c r="B239" s="7">
        <f t="shared" ca="1" si="18"/>
        <v>47</v>
      </c>
      <c r="C239" s="7">
        <f>MATCH(Salary[[#This Row],[ماه]],Calc!$A$16:$A$27,0)</f>
        <v>4</v>
      </c>
      <c r="D239" s="8" t="s">
        <v>89</v>
      </c>
      <c r="E239" s="9">
        <f t="shared" ca="1" si="23"/>
        <v>8242000</v>
      </c>
      <c r="F239" s="9"/>
      <c r="G239" s="9">
        <f t="shared" ca="1" si="19"/>
        <v>8242000</v>
      </c>
      <c r="H239" s="9">
        <f t="shared" ca="1" si="20"/>
        <v>1895660</v>
      </c>
      <c r="I239" s="9">
        <f t="shared" ca="1" si="21"/>
        <v>576940</v>
      </c>
      <c r="J239" s="22">
        <f ca="1">IF(Salary[[#This Row],[پایه حقوق]]&lt;=5600000,0,(Salary[[#This Row],[پایه حقوق]]-5600000)*0.1)</f>
        <v>264200</v>
      </c>
      <c r="K239" s="16">
        <f t="shared" ca="1" si="22"/>
        <v>7400860</v>
      </c>
    </row>
    <row r="240" spans="1:11">
      <c r="A240" s="15">
        <v>9990597</v>
      </c>
      <c r="B240" s="7">
        <f t="shared" ca="1" si="18"/>
        <v>38</v>
      </c>
      <c r="C240" s="7">
        <f>MATCH(Salary[[#This Row],[ماه]],Calc!$A$16:$A$27,0)</f>
        <v>4</v>
      </c>
      <c r="D240" s="8" t="s">
        <v>89</v>
      </c>
      <c r="E240" s="9">
        <f t="shared" ca="1" si="23"/>
        <v>5717000</v>
      </c>
      <c r="F240" s="9"/>
      <c r="G240" s="9">
        <f t="shared" ca="1" si="19"/>
        <v>5717000</v>
      </c>
      <c r="H240" s="9">
        <f t="shared" ca="1" si="20"/>
        <v>1314910</v>
      </c>
      <c r="I240" s="9">
        <f t="shared" ca="1" si="21"/>
        <v>400190.00000000006</v>
      </c>
      <c r="J240" s="22">
        <f ca="1">IF(Salary[[#This Row],[پایه حقوق]]&lt;=5600000,0,(Salary[[#This Row],[پایه حقوق]]-5600000)*0.1)</f>
        <v>11700</v>
      </c>
      <c r="K240" s="16">
        <f t="shared" ca="1" si="22"/>
        <v>5305110</v>
      </c>
    </row>
    <row r="241" spans="1:11">
      <c r="A241" s="17">
        <v>9990645</v>
      </c>
      <c r="B241" s="7">
        <f t="shared" ca="1" si="18"/>
        <v>88</v>
      </c>
      <c r="C241" s="37">
        <f>MATCH(Salary[[#This Row],[ماه]],Calc!$A$16:$A$27,0)</f>
        <v>4</v>
      </c>
      <c r="D241" s="12" t="s">
        <v>89</v>
      </c>
      <c r="E241" s="9">
        <f t="shared" ca="1" si="23"/>
        <v>5339000</v>
      </c>
      <c r="F241" s="13"/>
      <c r="G241" s="13">
        <f t="shared" ca="1" si="19"/>
        <v>5339000</v>
      </c>
      <c r="H241" s="13">
        <f t="shared" ca="1" si="20"/>
        <v>1227970</v>
      </c>
      <c r="I241" s="13">
        <f t="shared" ca="1" si="21"/>
        <v>373730.00000000006</v>
      </c>
      <c r="J241" s="22">
        <f ca="1">IF(Salary[[#This Row],[پایه حقوق]]&lt;=5600000,0,(Salary[[#This Row],[پایه حقوق]]-5600000)*0.1)</f>
        <v>0</v>
      </c>
      <c r="K241" s="18">
        <f t="shared" ca="1" si="22"/>
        <v>4965270</v>
      </c>
    </row>
    <row r="242" spans="1:11">
      <c r="A242" s="1">
        <v>9987656</v>
      </c>
      <c r="B242" s="7">
        <f t="shared" ca="1" si="18"/>
        <v>78</v>
      </c>
      <c r="C242" s="7">
        <f>MATCH(Salary[[#This Row],[ماه]],Calc!$A$16:$A$27,0)</f>
        <v>5</v>
      </c>
      <c r="D242" s="8" t="s">
        <v>90</v>
      </c>
      <c r="E242" s="9">
        <f t="shared" ca="1" si="23"/>
        <v>10752000</v>
      </c>
      <c r="F242" s="9"/>
      <c r="G242" s="9">
        <f t="shared" ca="1" si="19"/>
        <v>10752000</v>
      </c>
      <c r="H242" s="9">
        <f t="shared" ca="1" si="20"/>
        <v>2472960</v>
      </c>
      <c r="I242" s="9">
        <f t="shared" ca="1" si="21"/>
        <v>752640.00000000012</v>
      </c>
      <c r="J242" s="22">
        <f ca="1">IF(Salary[[#This Row],[پایه حقوق]]&lt;=5600000,0,(Salary[[#This Row],[پایه حقوق]]-5600000)*0.1)</f>
        <v>515200</v>
      </c>
      <c r="K242" s="16">
        <f t="shared" ca="1" si="22"/>
        <v>9484160</v>
      </c>
    </row>
    <row r="243" spans="1:11">
      <c r="A243" s="1">
        <v>9987728</v>
      </c>
      <c r="B243" s="7">
        <f t="shared" ca="1" si="18"/>
        <v>63</v>
      </c>
      <c r="C243" s="7">
        <f>MATCH(Salary[[#This Row],[ماه]],Calc!$A$16:$A$27,0)</f>
        <v>5</v>
      </c>
      <c r="D243" s="8" t="s">
        <v>90</v>
      </c>
      <c r="E243" s="9">
        <f t="shared" ca="1" si="23"/>
        <v>5759000</v>
      </c>
      <c r="F243" s="9"/>
      <c r="G243" s="9">
        <f t="shared" ca="1" si="19"/>
        <v>5759000</v>
      </c>
      <c r="H243" s="9">
        <f t="shared" ca="1" si="20"/>
        <v>1324570</v>
      </c>
      <c r="I243" s="9">
        <f t="shared" ca="1" si="21"/>
        <v>403130.00000000006</v>
      </c>
      <c r="J243" s="22">
        <f ca="1">IF(Salary[[#This Row],[پایه حقوق]]&lt;=5600000,0,(Salary[[#This Row],[پایه حقوق]]-5600000)*0.1)</f>
        <v>15900</v>
      </c>
      <c r="K243" s="16">
        <f t="shared" ca="1" si="22"/>
        <v>5339970</v>
      </c>
    </row>
    <row r="244" spans="1:11">
      <c r="A244" s="1">
        <v>9987826</v>
      </c>
      <c r="B244" s="7">
        <f t="shared" ca="1" si="18"/>
        <v>59</v>
      </c>
      <c r="C244" s="7">
        <f>MATCH(Salary[[#This Row],[ماه]],Calc!$A$16:$A$27,0)</f>
        <v>5</v>
      </c>
      <c r="D244" s="8" t="s">
        <v>90</v>
      </c>
      <c r="E244" s="9">
        <f t="shared" ca="1" si="23"/>
        <v>10598000</v>
      </c>
      <c r="F244" s="8"/>
      <c r="G244" s="9">
        <f t="shared" ca="1" si="19"/>
        <v>10598000</v>
      </c>
      <c r="H244" s="9">
        <f t="shared" ca="1" si="20"/>
        <v>2437540</v>
      </c>
      <c r="I244" s="9">
        <f t="shared" ca="1" si="21"/>
        <v>741860.00000000012</v>
      </c>
      <c r="J244" s="22">
        <f ca="1">IF(Salary[[#This Row],[پایه حقوق]]&lt;=5600000,0,(Salary[[#This Row],[پایه حقوق]]-5600000)*0.1)</f>
        <v>499800</v>
      </c>
      <c r="K244" s="16">
        <f t="shared" ca="1" si="22"/>
        <v>9356340</v>
      </c>
    </row>
    <row r="245" spans="1:11">
      <c r="A245" s="1">
        <v>9987915</v>
      </c>
      <c r="B245" s="7">
        <f t="shared" ca="1" si="18"/>
        <v>85</v>
      </c>
      <c r="C245" s="7">
        <f>MATCH(Salary[[#This Row],[ماه]],Calc!$A$16:$A$27,0)</f>
        <v>5</v>
      </c>
      <c r="D245" s="8" t="s">
        <v>90</v>
      </c>
      <c r="E245" s="9">
        <f t="shared" ca="1" si="23"/>
        <v>4714000</v>
      </c>
      <c r="F245" s="9"/>
      <c r="G245" s="9">
        <f t="shared" ca="1" si="19"/>
        <v>4714000</v>
      </c>
      <c r="H245" s="9">
        <f t="shared" ca="1" si="20"/>
        <v>1084220</v>
      </c>
      <c r="I245" s="9">
        <f t="shared" ca="1" si="21"/>
        <v>329980.00000000006</v>
      </c>
      <c r="J245" s="22">
        <f ca="1">IF(Salary[[#This Row],[پایه حقوق]]&lt;=5600000,0,(Salary[[#This Row],[پایه حقوق]]-5600000)*0.1)</f>
        <v>0</v>
      </c>
      <c r="K245" s="16">
        <f t="shared" ca="1" si="22"/>
        <v>4384020</v>
      </c>
    </row>
    <row r="246" spans="1:11">
      <c r="A246" s="1">
        <v>9987938</v>
      </c>
      <c r="B246" s="7">
        <f t="shared" ca="1" si="18"/>
        <v>84</v>
      </c>
      <c r="C246" s="7">
        <f>MATCH(Salary[[#This Row],[ماه]],Calc!$A$16:$A$27,0)</f>
        <v>5</v>
      </c>
      <c r="D246" s="8" t="s">
        <v>90</v>
      </c>
      <c r="E246" s="9">
        <f t="shared" ca="1" si="23"/>
        <v>10911000</v>
      </c>
      <c r="F246" s="8"/>
      <c r="G246" s="9">
        <f t="shared" ca="1" si="19"/>
        <v>10911000</v>
      </c>
      <c r="H246" s="9">
        <f t="shared" ca="1" si="20"/>
        <v>2509530</v>
      </c>
      <c r="I246" s="9">
        <f t="shared" ca="1" si="21"/>
        <v>763770.00000000012</v>
      </c>
      <c r="J246" s="22">
        <f ca="1">IF(Salary[[#This Row],[پایه حقوق]]&lt;=5600000,0,(Salary[[#This Row],[پایه حقوق]]-5600000)*0.1)</f>
        <v>531100</v>
      </c>
      <c r="K246" s="16">
        <f t="shared" ca="1" si="22"/>
        <v>9616130</v>
      </c>
    </row>
    <row r="247" spans="1:11">
      <c r="A247" s="1">
        <v>9988023</v>
      </c>
      <c r="B247" s="7">
        <f t="shared" ca="1" si="18"/>
        <v>48</v>
      </c>
      <c r="C247" s="7">
        <f>MATCH(Salary[[#This Row],[ماه]],Calc!$A$16:$A$27,0)</f>
        <v>5</v>
      </c>
      <c r="D247" s="8" t="s">
        <v>90</v>
      </c>
      <c r="E247" s="9">
        <f t="shared" ca="1" si="23"/>
        <v>10038000</v>
      </c>
      <c r="F247" s="8"/>
      <c r="G247" s="9">
        <f t="shared" ca="1" si="19"/>
        <v>10038000</v>
      </c>
      <c r="H247" s="9">
        <f t="shared" ca="1" si="20"/>
        <v>2308740</v>
      </c>
      <c r="I247" s="9">
        <f t="shared" ca="1" si="21"/>
        <v>702660.00000000012</v>
      </c>
      <c r="J247" s="22">
        <f ca="1">IF(Salary[[#This Row],[پایه حقوق]]&lt;=5600000,0,(Salary[[#This Row],[پایه حقوق]]-5600000)*0.1)</f>
        <v>443800</v>
      </c>
      <c r="K247" s="16">
        <f t="shared" ca="1" si="22"/>
        <v>8891540</v>
      </c>
    </row>
    <row r="248" spans="1:11">
      <c r="A248" s="1">
        <v>9988106</v>
      </c>
      <c r="B248" s="7">
        <f t="shared" ca="1" si="18"/>
        <v>83</v>
      </c>
      <c r="C248" s="7">
        <f>MATCH(Salary[[#This Row],[ماه]],Calc!$A$16:$A$27,0)</f>
        <v>5</v>
      </c>
      <c r="D248" s="8" t="s">
        <v>90</v>
      </c>
      <c r="E248" s="9">
        <f t="shared" ca="1" si="23"/>
        <v>9353000</v>
      </c>
      <c r="F248" s="9">
        <f ca="1">0.7*E248</f>
        <v>6547100</v>
      </c>
      <c r="G248" s="9">
        <f t="shared" ca="1" si="19"/>
        <v>15900100</v>
      </c>
      <c r="H248" s="9">
        <f t="shared" ca="1" si="20"/>
        <v>2151190</v>
      </c>
      <c r="I248" s="9">
        <f t="shared" ca="1" si="21"/>
        <v>654710.00000000012</v>
      </c>
      <c r="J248" s="22">
        <f ca="1">IF(Salary[[#This Row],[پایه حقوق]]&lt;=5600000,0,(Salary[[#This Row],[پایه حقوق]]-5600000)*0.1)</f>
        <v>375300</v>
      </c>
      <c r="K248" s="16">
        <f t="shared" ca="1" si="22"/>
        <v>14870090</v>
      </c>
    </row>
    <row r="249" spans="1:11">
      <c r="A249" s="1">
        <v>9988137</v>
      </c>
      <c r="B249" s="7">
        <f t="shared" ca="1" si="18"/>
        <v>73</v>
      </c>
      <c r="C249" s="7">
        <f>MATCH(Salary[[#This Row],[ماه]],Calc!$A$16:$A$27,0)</f>
        <v>5</v>
      </c>
      <c r="D249" s="8" t="s">
        <v>90</v>
      </c>
      <c r="E249" s="9">
        <f t="shared" ca="1" si="23"/>
        <v>4816000</v>
      </c>
      <c r="F249" s="9">
        <f ca="1">0.7*E249</f>
        <v>3371200</v>
      </c>
      <c r="G249" s="9">
        <f t="shared" ca="1" si="19"/>
        <v>8187200</v>
      </c>
      <c r="H249" s="9">
        <f t="shared" ca="1" si="20"/>
        <v>1107680</v>
      </c>
      <c r="I249" s="9">
        <f t="shared" ca="1" si="21"/>
        <v>337120.00000000006</v>
      </c>
      <c r="J249" s="22">
        <f ca="1">IF(Salary[[#This Row],[پایه حقوق]]&lt;=5600000,0,(Salary[[#This Row],[پایه حقوق]]-5600000)*0.1)</f>
        <v>0</v>
      </c>
      <c r="K249" s="16">
        <f t="shared" ca="1" si="22"/>
        <v>7850080</v>
      </c>
    </row>
    <row r="250" spans="1:11">
      <c r="A250" s="1">
        <v>9988165</v>
      </c>
      <c r="B250" s="7">
        <f t="shared" ca="1" si="18"/>
        <v>85</v>
      </c>
      <c r="C250" s="7">
        <f>MATCH(Salary[[#This Row],[ماه]],Calc!$A$16:$A$27,0)</f>
        <v>5</v>
      </c>
      <c r="D250" s="8" t="s">
        <v>90</v>
      </c>
      <c r="E250" s="9">
        <f t="shared" ca="1" si="23"/>
        <v>6179000</v>
      </c>
      <c r="F250" s="9">
        <f ca="1">0.7*E250</f>
        <v>4325300</v>
      </c>
      <c r="G250" s="9">
        <f t="shared" ca="1" si="19"/>
        <v>10504300</v>
      </c>
      <c r="H250" s="9">
        <f t="shared" ca="1" si="20"/>
        <v>1421170</v>
      </c>
      <c r="I250" s="9">
        <f t="shared" ca="1" si="21"/>
        <v>432530.00000000006</v>
      </c>
      <c r="J250" s="22">
        <f ca="1">IF(Salary[[#This Row],[پایه حقوق]]&lt;=5600000,0,(Salary[[#This Row],[پایه حقوق]]-5600000)*0.1)</f>
        <v>57900</v>
      </c>
      <c r="K250" s="16">
        <f t="shared" ca="1" si="22"/>
        <v>10013870</v>
      </c>
    </row>
    <row r="251" spans="1:11">
      <c r="A251" s="1">
        <v>9988236</v>
      </c>
      <c r="B251" s="7">
        <f t="shared" ca="1" si="18"/>
        <v>30</v>
      </c>
      <c r="C251" s="7">
        <f>MATCH(Salary[[#This Row],[ماه]],Calc!$A$16:$A$27,0)</f>
        <v>5</v>
      </c>
      <c r="D251" s="8" t="s">
        <v>90</v>
      </c>
      <c r="E251" s="9">
        <f t="shared" ca="1" si="23"/>
        <v>10534000</v>
      </c>
      <c r="F251" s="9">
        <f ca="1">0.7*E251</f>
        <v>7373799.9999999991</v>
      </c>
      <c r="G251" s="9">
        <f t="shared" ca="1" si="19"/>
        <v>17907800</v>
      </c>
      <c r="H251" s="9">
        <f t="shared" ca="1" si="20"/>
        <v>2422820</v>
      </c>
      <c r="I251" s="9">
        <f t="shared" ca="1" si="21"/>
        <v>737380.00000000012</v>
      </c>
      <c r="J251" s="22">
        <f ca="1">IF(Salary[[#This Row],[پایه حقوق]]&lt;=5600000,0,(Salary[[#This Row],[پایه حقوق]]-5600000)*0.1)</f>
        <v>493400</v>
      </c>
      <c r="K251" s="16">
        <f t="shared" ca="1" si="22"/>
        <v>16677020</v>
      </c>
    </row>
    <row r="252" spans="1:11">
      <c r="A252" s="1">
        <v>9988277</v>
      </c>
      <c r="B252" s="7">
        <f t="shared" ca="1" si="18"/>
        <v>75</v>
      </c>
      <c r="C252" s="7">
        <f>MATCH(Salary[[#This Row],[ماه]],Calc!$A$16:$A$27,0)</f>
        <v>5</v>
      </c>
      <c r="D252" s="8" t="s">
        <v>90</v>
      </c>
      <c r="E252" s="9">
        <f t="shared" ca="1" si="23"/>
        <v>4397000</v>
      </c>
      <c r="F252" s="9"/>
      <c r="G252" s="9">
        <f t="shared" ca="1" si="19"/>
        <v>4397000</v>
      </c>
      <c r="H252" s="9">
        <f t="shared" ca="1" si="20"/>
        <v>1011310</v>
      </c>
      <c r="I252" s="9">
        <f t="shared" ca="1" si="21"/>
        <v>307790.00000000006</v>
      </c>
      <c r="J252" s="22">
        <f ca="1">IF(Salary[[#This Row],[پایه حقوق]]&lt;=5600000,0,(Salary[[#This Row],[پایه حقوق]]-5600000)*0.1)</f>
        <v>0</v>
      </c>
      <c r="K252" s="16">
        <f t="shared" ca="1" si="22"/>
        <v>4089210</v>
      </c>
    </row>
    <row r="253" spans="1:11">
      <c r="A253" s="1">
        <v>9988371</v>
      </c>
      <c r="B253" s="7">
        <f t="shared" ca="1" si="18"/>
        <v>61</v>
      </c>
      <c r="C253" s="7">
        <f>MATCH(Salary[[#This Row],[ماه]],Calc!$A$16:$A$27,0)</f>
        <v>5</v>
      </c>
      <c r="D253" s="8" t="s">
        <v>90</v>
      </c>
      <c r="E253" s="9">
        <f t="shared" ca="1" si="23"/>
        <v>14199000</v>
      </c>
      <c r="F253" s="8"/>
      <c r="G253" s="9">
        <f t="shared" ca="1" si="19"/>
        <v>14199000</v>
      </c>
      <c r="H253" s="9">
        <f t="shared" ca="1" si="20"/>
        <v>3265770</v>
      </c>
      <c r="I253" s="9">
        <f t="shared" ca="1" si="21"/>
        <v>993930.00000000012</v>
      </c>
      <c r="J253" s="22">
        <f ca="1">IF(Salary[[#This Row],[پایه حقوق]]&lt;=5600000,0,(Salary[[#This Row],[پایه حقوق]]-5600000)*0.1)</f>
        <v>859900</v>
      </c>
      <c r="K253" s="16">
        <f t="shared" ca="1" si="22"/>
        <v>12345170</v>
      </c>
    </row>
    <row r="254" spans="1:11">
      <c r="A254" s="1">
        <v>9988393</v>
      </c>
      <c r="B254" s="7">
        <f t="shared" ca="1" si="18"/>
        <v>53</v>
      </c>
      <c r="C254" s="7">
        <f>MATCH(Salary[[#This Row],[ماه]],Calc!$A$16:$A$27,0)</f>
        <v>5</v>
      </c>
      <c r="D254" s="8" t="s">
        <v>90</v>
      </c>
      <c r="E254" s="9">
        <f t="shared" ca="1" si="23"/>
        <v>12383000</v>
      </c>
      <c r="F254" s="9"/>
      <c r="G254" s="9">
        <f t="shared" ca="1" si="19"/>
        <v>12383000</v>
      </c>
      <c r="H254" s="9">
        <f t="shared" ca="1" si="20"/>
        <v>2848090</v>
      </c>
      <c r="I254" s="9">
        <f t="shared" ca="1" si="21"/>
        <v>866810.00000000012</v>
      </c>
      <c r="J254" s="22">
        <f ca="1">IF(Salary[[#This Row],[پایه حقوق]]&lt;=5600000,0,(Salary[[#This Row],[پایه حقوق]]-5600000)*0.1)</f>
        <v>678300</v>
      </c>
      <c r="K254" s="16">
        <f t="shared" ca="1" si="22"/>
        <v>10837890</v>
      </c>
    </row>
    <row r="255" spans="1:11">
      <c r="A255" s="1">
        <v>9988453</v>
      </c>
      <c r="B255" s="7">
        <f t="shared" ca="1" si="18"/>
        <v>96</v>
      </c>
      <c r="C255" s="7">
        <f>MATCH(Salary[[#This Row],[ماه]],Calc!$A$16:$A$27,0)</f>
        <v>5</v>
      </c>
      <c r="D255" s="8" t="s">
        <v>90</v>
      </c>
      <c r="E255" s="9">
        <f t="shared" ca="1" si="23"/>
        <v>8000000</v>
      </c>
      <c r="F255" s="8"/>
      <c r="G255" s="9">
        <f t="shared" ca="1" si="19"/>
        <v>8000000</v>
      </c>
      <c r="H255" s="9">
        <f t="shared" ca="1" si="20"/>
        <v>1840000</v>
      </c>
      <c r="I255" s="9">
        <f t="shared" ca="1" si="21"/>
        <v>560000</v>
      </c>
      <c r="J255" s="22">
        <f ca="1">IF(Salary[[#This Row],[پایه حقوق]]&lt;=5600000,0,(Salary[[#This Row],[پایه حقوق]]-5600000)*0.1)</f>
        <v>240000</v>
      </c>
      <c r="K255" s="16">
        <f t="shared" ca="1" si="22"/>
        <v>7200000</v>
      </c>
    </row>
    <row r="256" spans="1:11">
      <c r="A256" s="1">
        <v>9988492</v>
      </c>
      <c r="B256" s="7">
        <f t="shared" ca="1" si="18"/>
        <v>40</v>
      </c>
      <c r="C256" s="7">
        <f>MATCH(Salary[[#This Row],[ماه]],Calc!$A$16:$A$27,0)</f>
        <v>5</v>
      </c>
      <c r="D256" s="8" t="s">
        <v>90</v>
      </c>
      <c r="E256" s="9">
        <f t="shared" ca="1" si="23"/>
        <v>11632000</v>
      </c>
      <c r="F256" s="9"/>
      <c r="G256" s="9">
        <f t="shared" ca="1" si="19"/>
        <v>11632000</v>
      </c>
      <c r="H256" s="9">
        <f t="shared" ca="1" si="20"/>
        <v>2675360</v>
      </c>
      <c r="I256" s="9">
        <f t="shared" ca="1" si="21"/>
        <v>814240.00000000012</v>
      </c>
      <c r="J256" s="22">
        <f ca="1">IF(Salary[[#This Row],[پایه حقوق]]&lt;=5600000,0,(Salary[[#This Row],[پایه حقوق]]-5600000)*0.1)</f>
        <v>603200</v>
      </c>
      <c r="K256" s="16">
        <f t="shared" ca="1" si="22"/>
        <v>10214560</v>
      </c>
    </row>
    <row r="257" spans="1:11">
      <c r="A257" s="1">
        <v>9988572</v>
      </c>
      <c r="B257" s="7">
        <f t="shared" ca="1" si="18"/>
        <v>85</v>
      </c>
      <c r="C257" s="7">
        <f>MATCH(Salary[[#This Row],[ماه]],Calc!$A$16:$A$27,0)</f>
        <v>5</v>
      </c>
      <c r="D257" s="8" t="s">
        <v>90</v>
      </c>
      <c r="E257" s="9">
        <f t="shared" ca="1" si="23"/>
        <v>4401000</v>
      </c>
      <c r="F257" s="8"/>
      <c r="G257" s="9">
        <f t="shared" ca="1" si="19"/>
        <v>4401000</v>
      </c>
      <c r="H257" s="9">
        <f t="shared" ca="1" si="20"/>
        <v>1012230</v>
      </c>
      <c r="I257" s="9">
        <f t="shared" ca="1" si="21"/>
        <v>308070.00000000006</v>
      </c>
      <c r="J257" s="22">
        <f ca="1">IF(Salary[[#This Row],[پایه حقوق]]&lt;=5600000,0,(Salary[[#This Row],[پایه حقوق]]-5600000)*0.1)</f>
        <v>0</v>
      </c>
      <c r="K257" s="16">
        <f t="shared" ca="1" si="22"/>
        <v>4092930</v>
      </c>
    </row>
    <row r="258" spans="1:11">
      <c r="A258" s="1">
        <v>9988618</v>
      </c>
      <c r="B258" s="7">
        <f t="shared" ref="B258:B321" ca="1" si="24">RANDBETWEEN(30,100)</f>
        <v>85</v>
      </c>
      <c r="C258" s="7">
        <f>MATCH(Salary[[#This Row],[ماه]],Calc!$A$16:$A$27,0)</f>
        <v>5</v>
      </c>
      <c r="D258" s="8" t="s">
        <v>90</v>
      </c>
      <c r="E258" s="9">
        <f t="shared" ca="1" si="23"/>
        <v>13019000</v>
      </c>
      <c r="F258" s="8"/>
      <c r="G258" s="9">
        <f t="shared" ref="G258:G321" ca="1" si="25">E258+F258</f>
        <v>13019000</v>
      </c>
      <c r="H258" s="9">
        <f t="shared" ref="H258:H321" ca="1" si="26">0.23*E258</f>
        <v>2994370</v>
      </c>
      <c r="I258" s="9">
        <f t="shared" ref="I258:I321" ca="1" si="27">0.07*E258</f>
        <v>911330.00000000012</v>
      </c>
      <c r="J258" s="22">
        <f ca="1">IF(Salary[[#This Row],[پایه حقوق]]&lt;=5600000,0,(Salary[[#This Row],[پایه حقوق]]-5600000)*0.1)</f>
        <v>741900</v>
      </c>
      <c r="K258" s="16">
        <f t="shared" ref="K258:K321" ca="1" si="28">G258-I258-J258</f>
        <v>11365770</v>
      </c>
    </row>
    <row r="259" spans="1:11">
      <c r="A259" s="1">
        <v>9988657</v>
      </c>
      <c r="B259" s="7">
        <f t="shared" ca="1" si="24"/>
        <v>82</v>
      </c>
      <c r="C259" s="7">
        <f>MATCH(Salary[[#This Row],[ماه]],Calc!$A$16:$A$27,0)</f>
        <v>5</v>
      </c>
      <c r="D259" s="8" t="s">
        <v>90</v>
      </c>
      <c r="E259" s="9">
        <f t="shared" ref="E259:E322" ca="1" si="29">RANDBETWEEN(3000,15000)*1000</f>
        <v>8915000</v>
      </c>
      <c r="F259" s="9"/>
      <c r="G259" s="9">
        <f t="shared" ca="1" si="25"/>
        <v>8915000</v>
      </c>
      <c r="H259" s="9">
        <f t="shared" ca="1" si="26"/>
        <v>2050450</v>
      </c>
      <c r="I259" s="9">
        <f t="shared" ca="1" si="27"/>
        <v>624050.00000000012</v>
      </c>
      <c r="J259" s="22">
        <f ca="1">IF(Salary[[#This Row],[پایه حقوق]]&lt;=5600000,0,(Salary[[#This Row],[پایه حقوق]]-5600000)*0.1)</f>
        <v>331500</v>
      </c>
      <c r="K259" s="16">
        <f t="shared" ca="1" si="28"/>
        <v>7959450</v>
      </c>
    </row>
    <row r="260" spans="1:11">
      <c r="A260" s="1">
        <v>9988677</v>
      </c>
      <c r="B260" s="7">
        <f t="shared" ca="1" si="24"/>
        <v>93</v>
      </c>
      <c r="C260" s="7">
        <f>MATCH(Salary[[#This Row],[ماه]],Calc!$A$16:$A$27,0)</f>
        <v>5</v>
      </c>
      <c r="D260" s="8" t="s">
        <v>90</v>
      </c>
      <c r="E260" s="9">
        <f t="shared" ca="1" si="29"/>
        <v>8071000</v>
      </c>
      <c r="F260" s="9">
        <f ca="1">0.7*E260</f>
        <v>5649700</v>
      </c>
      <c r="G260" s="9">
        <f t="shared" ca="1" si="25"/>
        <v>13720700</v>
      </c>
      <c r="H260" s="9">
        <f t="shared" ca="1" si="26"/>
        <v>1856330</v>
      </c>
      <c r="I260" s="9">
        <f t="shared" ca="1" si="27"/>
        <v>564970</v>
      </c>
      <c r="J260" s="22">
        <f ca="1">IF(Salary[[#This Row],[پایه حقوق]]&lt;=5600000,0,(Salary[[#This Row],[پایه حقوق]]-5600000)*0.1)</f>
        <v>247100</v>
      </c>
      <c r="K260" s="16">
        <f t="shared" ca="1" si="28"/>
        <v>12908630</v>
      </c>
    </row>
    <row r="261" spans="1:11">
      <c r="A261" s="1">
        <v>9988725</v>
      </c>
      <c r="B261" s="7">
        <f t="shared" ca="1" si="24"/>
        <v>81</v>
      </c>
      <c r="C261" s="7">
        <f>MATCH(Salary[[#This Row],[ماه]],Calc!$A$16:$A$27,0)</f>
        <v>5</v>
      </c>
      <c r="D261" s="8" t="s">
        <v>90</v>
      </c>
      <c r="E261" s="9">
        <f t="shared" ca="1" si="29"/>
        <v>6672000</v>
      </c>
      <c r="F261" s="9"/>
      <c r="G261" s="9">
        <f t="shared" ca="1" si="25"/>
        <v>6672000</v>
      </c>
      <c r="H261" s="9">
        <f t="shared" ca="1" si="26"/>
        <v>1534560</v>
      </c>
      <c r="I261" s="9">
        <f t="shared" ca="1" si="27"/>
        <v>467040.00000000006</v>
      </c>
      <c r="J261" s="22">
        <f ca="1">IF(Salary[[#This Row],[پایه حقوق]]&lt;=5600000,0,(Salary[[#This Row],[پایه حقوق]]-5600000)*0.1)</f>
        <v>107200</v>
      </c>
      <c r="K261" s="16">
        <f t="shared" ca="1" si="28"/>
        <v>6097760</v>
      </c>
    </row>
    <row r="262" spans="1:11">
      <c r="A262" s="1">
        <v>9988773</v>
      </c>
      <c r="B262" s="7">
        <f t="shared" ca="1" si="24"/>
        <v>62</v>
      </c>
      <c r="C262" s="7">
        <f>MATCH(Salary[[#This Row],[ماه]],Calc!$A$16:$A$27,0)</f>
        <v>5</v>
      </c>
      <c r="D262" s="8" t="s">
        <v>90</v>
      </c>
      <c r="E262" s="9">
        <f t="shared" ca="1" si="29"/>
        <v>7748000</v>
      </c>
      <c r="F262" s="9"/>
      <c r="G262" s="9">
        <f t="shared" ca="1" si="25"/>
        <v>7748000</v>
      </c>
      <c r="H262" s="9">
        <f t="shared" ca="1" si="26"/>
        <v>1782040</v>
      </c>
      <c r="I262" s="9">
        <f t="shared" ca="1" si="27"/>
        <v>542360</v>
      </c>
      <c r="J262" s="22">
        <f ca="1">IF(Salary[[#This Row],[پایه حقوق]]&lt;=5600000,0,(Salary[[#This Row],[پایه حقوق]]-5600000)*0.1)</f>
        <v>214800</v>
      </c>
      <c r="K262" s="16">
        <f t="shared" ca="1" si="28"/>
        <v>6990840</v>
      </c>
    </row>
    <row r="263" spans="1:11">
      <c r="A263" s="1">
        <v>9988821</v>
      </c>
      <c r="B263" s="7">
        <f t="shared" ca="1" si="24"/>
        <v>75</v>
      </c>
      <c r="C263" s="7">
        <f>MATCH(Salary[[#This Row],[ماه]],Calc!$A$16:$A$27,0)</f>
        <v>5</v>
      </c>
      <c r="D263" s="8" t="s">
        <v>90</v>
      </c>
      <c r="E263" s="9">
        <f t="shared" ca="1" si="29"/>
        <v>11434000</v>
      </c>
      <c r="F263" s="9"/>
      <c r="G263" s="9">
        <f t="shared" ca="1" si="25"/>
        <v>11434000</v>
      </c>
      <c r="H263" s="9">
        <f t="shared" ca="1" si="26"/>
        <v>2629820</v>
      </c>
      <c r="I263" s="9">
        <f t="shared" ca="1" si="27"/>
        <v>800380.00000000012</v>
      </c>
      <c r="J263" s="22">
        <f ca="1">IF(Salary[[#This Row],[پایه حقوق]]&lt;=5600000,0,(Salary[[#This Row],[پایه حقوق]]-5600000)*0.1)</f>
        <v>583400</v>
      </c>
      <c r="K263" s="16">
        <f t="shared" ca="1" si="28"/>
        <v>10050220</v>
      </c>
    </row>
    <row r="264" spans="1:11">
      <c r="A264" s="1">
        <v>9988869</v>
      </c>
      <c r="B264" s="7">
        <f t="shared" ca="1" si="24"/>
        <v>49</v>
      </c>
      <c r="C264" s="7">
        <f>MATCH(Salary[[#This Row],[ماه]],Calc!$A$16:$A$27,0)</f>
        <v>5</v>
      </c>
      <c r="D264" s="8" t="s">
        <v>90</v>
      </c>
      <c r="E264" s="9">
        <f t="shared" ca="1" si="29"/>
        <v>4120000</v>
      </c>
      <c r="F264" s="9"/>
      <c r="G264" s="9">
        <f t="shared" ca="1" si="25"/>
        <v>4120000</v>
      </c>
      <c r="H264" s="9">
        <f t="shared" ca="1" si="26"/>
        <v>947600</v>
      </c>
      <c r="I264" s="9">
        <f t="shared" ca="1" si="27"/>
        <v>288400</v>
      </c>
      <c r="J264" s="22">
        <f ca="1">IF(Salary[[#This Row],[پایه حقوق]]&lt;=5600000,0,(Salary[[#This Row],[پایه حقوق]]-5600000)*0.1)</f>
        <v>0</v>
      </c>
      <c r="K264" s="16">
        <f t="shared" ca="1" si="28"/>
        <v>3831600</v>
      </c>
    </row>
    <row r="265" spans="1:11">
      <c r="A265" s="1">
        <v>9988917</v>
      </c>
      <c r="B265" s="7">
        <f t="shared" ca="1" si="24"/>
        <v>38</v>
      </c>
      <c r="C265" s="7">
        <f>MATCH(Salary[[#This Row],[ماه]],Calc!$A$16:$A$27,0)</f>
        <v>5</v>
      </c>
      <c r="D265" s="8" t="s">
        <v>90</v>
      </c>
      <c r="E265" s="9">
        <f t="shared" ca="1" si="29"/>
        <v>11337000</v>
      </c>
      <c r="F265" s="9"/>
      <c r="G265" s="9">
        <f t="shared" ca="1" si="25"/>
        <v>11337000</v>
      </c>
      <c r="H265" s="9">
        <f t="shared" ca="1" si="26"/>
        <v>2607510</v>
      </c>
      <c r="I265" s="9">
        <f t="shared" ca="1" si="27"/>
        <v>793590.00000000012</v>
      </c>
      <c r="J265" s="22">
        <f ca="1">IF(Salary[[#This Row],[پایه حقوق]]&lt;=5600000,0,(Salary[[#This Row],[پایه حقوق]]-5600000)*0.1)</f>
        <v>573700</v>
      </c>
      <c r="K265" s="16">
        <f t="shared" ca="1" si="28"/>
        <v>9969710</v>
      </c>
    </row>
    <row r="266" spans="1:11">
      <c r="A266" s="1">
        <v>9988965</v>
      </c>
      <c r="B266" s="7">
        <f t="shared" ca="1" si="24"/>
        <v>47</v>
      </c>
      <c r="C266" s="7">
        <f>MATCH(Salary[[#This Row],[ماه]],Calc!$A$16:$A$27,0)</f>
        <v>5</v>
      </c>
      <c r="D266" s="8" t="s">
        <v>90</v>
      </c>
      <c r="E266" s="9">
        <f t="shared" ca="1" si="29"/>
        <v>8199000</v>
      </c>
      <c r="F266" s="9"/>
      <c r="G266" s="9">
        <f t="shared" ca="1" si="25"/>
        <v>8199000</v>
      </c>
      <c r="H266" s="9">
        <f t="shared" ca="1" si="26"/>
        <v>1885770</v>
      </c>
      <c r="I266" s="9">
        <f t="shared" ca="1" si="27"/>
        <v>573930</v>
      </c>
      <c r="J266" s="22">
        <f ca="1">IF(Salary[[#This Row],[پایه حقوق]]&lt;=5600000,0,(Salary[[#This Row],[پایه حقوق]]-5600000)*0.1)</f>
        <v>259900</v>
      </c>
      <c r="K266" s="16">
        <f t="shared" ca="1" si="28"/>
        <v>7365170</v>
      </c>
    </row>
    <row r="267" spans="1:11">
      <c r="A267" s="1">
        <v>9989013</v>
      </c>
      <c r="B267" s="7">
        <f t="shared" ca="1" si="24"/>
        <v>64</v>
      </c>
      <c r="C267" s="7">
        <f>MATCH(Salary[[#This Row],[ماه]],Calc!$A$16:$A$27,0)</f>
        <v>5</v>
      </c>
      <c r="D267" s="8" t="s">
        <v>90</v>
      </c>
      <c r="E267" s="9">
        <f t="shared" ca="1" si="29"/>
        <v>5751000</v>
      </c>
      <c r="F267" s="9"/>
      <c r="G267" s="9">
        <f t="shared" ca="1" si="25"/>
        <v>5751000</v>
      </c>
      <c r="H267" s="9">
        <f t="shared" ca="1" si="26"/>
        <v>1322730</v>
      </c>
      <c r="I267" s="9">
        <f t="shared" ca="1" si="27"/>
        <v>402570.00000000006</v>
      </c>
      <c r="J267" s="22">
        <f ca="1">IF(Salary[[#This Row],[پایه حقوق]]&lt;=5600000,0,(Salary[[#This Row],[پایه حقوق]]-5600000)*0.1)</f>
        <v>15100</v>
      </c>
      <c r="K267" s="16">
        <f t="shared" ca="1" si="28"/>
        <v>5333330</v>
      </c>
    </row>
    <row r="268" spans="1:11">
      <c r="A268" s="1">
        <v>9989061</v>
      </c>
      <c r="B268" s="7">
        <f t="shared" ca="1" si="24"/>
        <v>91</v>
      </c>
      <c r="C268" s="7">
        <f>MATCH(Salary[[#This Row],[ماه]],Calc!$A$16:$A$27,0)</f>
        <v>5</v>
      </c>
      <c r="D268" s="8" t="s">
        <v>90</v>
      </c>
      <c r="E268" s="9">
        <f t="shared" ca="1" si="29"/>
        <v>8669000</v>
      </c>
      <c r="F268" s="9"/>
      <c r="G268" s="9">
        <f t="shared" ca="1" si="25"/>
        <v>8669000</v>
      </c>
      <c r="H268" s="9">
        <f t="shared" ca="1" si="26"/>
        <v>1993870</v>
      </c>
      <c r="I268" s="9">
        <f t="shared" ca="1" si="27"/>
        <v>606830</v>
      </c>
      <c r="J268" s="22">
        <f ca="1">IF(Salary[[#This Row],[پایه حقوق]]&lt;=5600000,0,(Salary[[#This Row],[پایه حقوق]]-5600000)*0.1)</f>
        <v>306900</v>
      </c>
      <c r="K268" s="16">
        <f t="shared" ca="1" si="28"/>
        <v>7755270</v>
      </c>
    </row>
    <row r="269" spans="1:11">
      <c r="A269" s="1">
        <v>9989109</v>
      </c>
      <c r="B269" s="7">
        <f t="shared" ca="1" si="24"/>
        <v>90</v>
      </c>
      <c r="C269" s="7">
        <f>MATCH(Salary[[#This Row],[ماه]],Calc!$A$16:$A$27,0)</f>
        <v>5</v>
      </c>
      <c r="D269" s="8" t="s">
        <v>90</v>
      </c>
      <c r="E269" s="9">
        <f t="shared" ca="1" si="29"/>
        <v>8194000</v>
      </c>
      <c r="F269" s="9"/>
      <c r="G269" s="9">
        <f t="shared" ca="1" si="25"/>
        <v>8194000</v>
      </c>
      <c r="H269" s="9">
        <f t="shared" ca="1" si="26"/>
        <v>1884620</v>
      </c>
      <c r="I269" s="9">
        <f t="shared" ca="1" si="27"/>
        <v>573580</v>
      </c>
      <c r="J269" s="22">
        <f ca="1">IF(Salary[[#This Row],[پایه حقوق]]&lt;=5600000,0,(Salary[[#This Row],[پایه حقوق]]-5600000)*0.1)</f>
        <v>259400</v>
      </c>
      <c r="K269" s="16">
        <f t="shared" ca="1" si="28"/>
        <v>7361020</v>
      </c>
    </row>
    <row r="270" spans="1:11">
      <c r="A270" s="1">
        <v>9989157</v>
      </c>
      <c r="B270" s="7">
        <f t="shared" ca="1" si="24"/>
        <v>77</v>
      </c>
      <c r="C270" s="7">
        <f>MATCH(Salary[[#This Row],[ماه]],Calc!$A$16:$A$27,0)</f>
        <v>5</v>
      </c>
      <c r="D270" s="8" t="s">
        <v>90</v>
      </c>
      <c r="E270" s="9">
        <f t="shared" ca="1" si="29"/>
        <v>9129000</v>
      </c>
      <c r="F270" s="9"/>
      <c r="G270" s="9">
        <f t="shared" ca="1" si="25"/>
        <v>9129000</v>
      </c>
      <c r="H270" s="9">
        <f t="shared" ca="1" si="26"/>
        <v>2099670</v>
      </c>
      <c r="I270" s="9">
        <f t="shared" ca="1" si="27"/>
        <v>639030.00000000012</v>
      </c>
      <c r="J270" s="22">
        <f ca="1">IF(Salary[[#This Row],[پایه حقوق]]&lt;=5600000,0,(Salary[[#This Row],[پایه حقوق]]-5600000)*0.1)</f>
        <v>352900</v>
      </c>
      <c r="K270" s="16">
        <f t="shared" ca="1" si="28"/>
        <v>8137070</v>
      </c>
    </row>
    <row r="271" spans="1:11">
      <c r="A271" s="1">
        <v>9989205</v>
      </c>
      <c r="B271" s="7">
        <f t="shared" ca="1" si="24"/>
        <v>36</v>
      </c>
      <c r="C271" s="7">
        <f>MATCH(Salary[[#This Row],[ماه]],Calc!$A$16:$A$27,0)</f>
        <v>5</v>
      </c>
      <c r="D271" s="8" t="s">
        <v>90</v>
      </c>
      <c r="E271" s="9">
        <f t="shared" ca="1" si="29"/>
        <v>6417000</v>
      </c>
      <c r="F271" s="9"/>
      <c r="G271" s="9">
        <f t="shared" ca="1" si="25"/>
        <v>6417000</v>
      </c>
      <c r="H271" s="9">
        <f t="shared" ca="1" si="26"/>
        <v>1475910</v>
      </c>
      <c r="I271" s="9">
        <f t="shared" ca="1" si="27"/>
        <v>449190.00000000006</v>
      </c>
      <c r="J271" s="22">
        <f ca="1">IF(Salary[[#This Row],[پایه حقوق]]&lt;=5600000,0,(Salary[[#This Row],[پایه حقوق]]-5600000)*0.1)</f>
        <v>81700</v>
      </c>
      <c r="K271" s="16">
        <f t="shared" ca="1" si="28"/>
        <v>5886110</v>
      </c>
    </row>
    <row r="272" spans="1:11">
      <c r="A272" s="1">
        <v>9989253</v>
      </c>
      <c r="B272" s="7">
        <f t="shared" ca="1" si="24"/>
        <v>57</v>
      </c>
      <c r="C272" s="7">
        <f>MATCH(Salary[[#This Row],[ماه]],Calc!$A$16:$A$27,0)</f>
        <v>5</v>
      </c>
      <c r="D272" s="8" t="s">
        <v>90</v>
      </c>
      <c r="E272" s="9">
        <f t="shared" ca="1" si="29"/>
        <v>5268000</v>
      </c>
      <c r="F272" s="9"/>
      <c r="G272" s="9">
        <f t="shared" ca="1" si="25"/>
        <v>5268000</v>
      </c>
      <c r="H272" s="9">
        <f t="shared" ca="1" si="26"/>
        <v>1211640</v>
      </c>
      <c r="I272" s="9">
        <f t="shared" ca="1" si="27"/>
        <v>368760.00000000006</v>
      </c>
      <c r="J272" s="22">
        <f ca="1">IF(Salary[[#This Row],[پایه حقوق]]&lt;=5600000,0,(Salary[[#This Row],[پایه حقوق]]-5600000)*0.1)</f>
        <v>0</v>
      </c>
      <c r="K272" s="16">
        <f t="shared" ca="1" si="28"/>
        <v>4899240</v>
      </c>
    </row>
    <row r="273" spans="1:11">
      <c r="A273" s="1">
        <v>9989301</v>
      </c>
      <c r="B273" s="7">
        <f t="shared" ca="1" si="24"/>
        <v>94</v>
      </c>
      <c r="C273" s="7">
        <f>MATCH(Salary[[#This Row],[ماه]],Calc!$A$16:$A$27,0)</f>
        <v>5</v>
      </c>
      <c r="D273" s="8" t="s">
        <v>90</v>
      </c>
      <c r="E273" s="9">
        <f t="shared" ca="1" si="29"/>
        <v>6869000</v>
      </c>
      <c r="F273" s="9"/>
      <c r="G273" s="9">
        <f t="shared" ca="1" si="25"/>
        <v>6869000</v>
      </c>
      <c r="H273" s="9">
        <f t="shared" ca="1" si="26"/>
        <v>1579870</v>
      </c>
      <c r="I273" s="9">
        <f t="shared" ca="1" si="27"/>
        <v>480830.00000000006</v>
      </c>
      <c r="J273" s="22">
        <f ca="1">IF(Salary[[#This Row],[پایه حقوق]]&lt;=5600000,0,(Salary[[#This Row],[پایه حقوق]]-5600000)*0.1)</f>
        <v>126900</v>
      </c>
      <c r="K273" s="16">
        <f t="shared" ca="1" si="28"/>
        <v>6261270</v>
      </c>
    </row>
    <row r="274" spans="1:11">
      <c r="A274" s="1">
        <v>9989349</v>
      </c>
      <c r="B274" s="7">
        <f t="shared" ca="1" si="24"/>
        <v>55</v>
      </c>
      <c r="C274" s="7">
        <f>MATCH(Salary[[#This Row],[ماه]],Calc!$A$16:$A$27,0)</f>
        <v>5</v>
      </c>
      <c r="D274" s="8" t="s">
        <v>90</v>
      </c>
      <c r="E274" s="9">
        <f t="shared" ca="1" si="29"/>
        <v>8158000</v>
      </c>
      <c r="F274" s="9"/>
      <c r="G274" s="9">
        <f t="shared" ca="1" si="25"/>
        <v>8158000</v>
      </c>
      <c r="H274" s="9">
        <f t="shared" ca="1" si="26"/>
        <v>1876340</v>
      </c>
      <c r="I274" s="9">
        <f t="shared" ca="1" si="27"/>
        <v>571060</v>
      </c>
      <c r="J274" s="22">
        <f ca="1">IF(Salary[[#This Row],[پایه حقوق]]&lt;=5600000,0,(Salary[[#This Row],[پایه حقوق]]-5600000)*0.1)</f>
        <v>255800</v>
      </c>
      <c r="K274" s="16">
        <f t="shared" ca="1" si="28"/>
        <v>7331140</v>
      </c>
    </row>
    <row r="275" spans="1:11">
      <c r="A275" s="1">
        <v>9989397</v>
      </c>
      <c r="B275" s="7">
        <f t="shared" ca="1" si="24"/>
        <v>71</v>
      </c>
      <c r="C275" s="7">
        <f>MATCH(Salary[[#This Row],[ماه]],Calc!$A$16:$A$27,0)</f>
        <v>5</v>
      </c>
      <c r="D275" s="8" t="s">
        <v>90</v>
      </c>
      <c r="E275" s="9">
        <f t="shared" ca="1" si="29"/>
        <v>10248000</v>
      </c>
      <c r="F275" s="9"/>
      <c r="G275" s="9">
        <f t="shared" ca="1" si="25"/>
        <v>10248000</v>
      </c>
      <c r="H275" s="9">
        <f t="shared" ca="1" si="26"/>
        <v>2357040</v>
      </c>
      <c r="I275" s="9">
        <f t="shared" ca="1" si="27"/>
        <v>717360.00000000012</v>
      </c>
      <c r="J275" s="22">
        <f ca="1">IF(Salary[[#This Row],[پایه حقوق]]&lt;=5600000,0,(Salary[[#This Row],[پایه حقوق]]-5600000)*0.1)</f>
        <v>464800</v>
      </c>
      <c r="K275" s="16">
        <f t="shared" ca="1" si="28"/>
        <v>9065840</v>
      </c>
    </row>
    <row r="276" spans="1:11">
      <c r="A276" s="1">
        <v>9989445</v>
      </c>
      <c r="B276" s="7">
        <f t="shared" ca="1" si="24"/>
        <v>53</v>
      </c>
      <c r="C276" s="7">
        <f>MATCH(Salary[[#This Row],[ماه]],Calc!$A$16:$A$27,0)</f>
        <v>5</v>
      </c>
      <c r="D276" s="8" t="s">
        <v>90</v>
      </c>
      <c r="E276" s="9">
        <f t="shared" ca="1" si="29"/>
        <v>4427000</v>
      </c>
      <c r="F276" s="9"/>
      <c r="G276" s="9">
        <f t="shared" ca="1" si="25"/>
        <v>4427000</v>
      </c>
      <c r="H276" s="9">
        <f t="shared" ca="1" si="26"/>
        <v>1018210</v>
      </c>
      <c r="I276" s="9">
        <f t="shared" ca="1" si="27"/>
        <v>309890.00000000006</v>
      </c>
      <c r="J276" s="22">
        <f ca="1">IF(Salary[[#This Row],[پایه حقوق]]&lt;=5600000,0,(Salary[[#This Row],[پایه حقوق]]-5600000)*0.1)</f>
        <v>0</v>
      </c>
      <c r="K276" s="16">
        <f t="shared" ca="1" si="28"/>
        <v>4117110</v>
      </c>
    </row>
    <row r="277" spans="1:11">
      <c r="A277" s="1">
        <v>9989493</v>
      </c>
      <c r="B277" s="7">
        <f t="shared" ca="1" si="24"/>
        <v>70</v>
      </c>
      <c r="C277" s="7">
        <f>MATCH(Salary[[#This Row],[ماه]],Calc!$A$16:$A$27,0)</f>
        <v>5</v>
      </c>
      <c r="D277" s="8" t="s">
        <v>90</v>
      </c>
      <c r="E277" s="9">
        <f t="shared" ca="1" si="29"/>
        <v>7658000</v>
      </c>
      <c r="F277" s="9"/>
      <c r="G277" s="9">
        <f t="shared" ca="1" si="25"/>
        <v>7658000</v>
      </c>
      <c r="H277" s="9">
        <f t="shared" ca="1" si="26"/>
        <v>1761340</v>
      </c>
      <c r="I277" s="9">
        <f t="shared" ca="1" si="27"/>
        <v>536060</v>
      </c>
      <c r="J277" s="22">
        <f ca="1">IF(Salary[[#This Row],[پایه حقوق]]&lt;=5600000,0,(Salary[[#This Row],[پایه حقوق]]-5600000)*0.1)</f>
        <v>205800</v>
      </c>
      <c r="K277" s="16">
        <f t="shared" ca="1" si="28"/>
        <v>6916140</v>
      </c>
    </row>
    <row r="278" spans="1:11">
      <c r="A278" s="1">
        <v>9989541</v>
      </c>
      <c r="B278" s="7">
        <f t="shared" ca="1" si="24"/>
        <v>34</v>
      </c>
      <c r="C278" s="7">
        <f>MATCH(Salary[[#This Row],[ماه]],Calc!$A$16:$A$27,0)</f>
        <v>5</v>
      </c>
      <c r="D278" s="8" t="s">
        <v>90</v>
      </c>
      <c r="E278" s="9">
        <f t="shared" ca="1" si="29"/>
        <v>11210000</v>
      </c>
      <c r="F278" s="9"/>
      <c r="G278" s="9">
        <f t="shared" ca="1" si="25"/>
        <v>11210000</v>
      </c>
      <c r="H278" s="9">
        <f t="shared" ca="1" si="26"/>
        <v>2578300</v>
      </c>
      <c r="I278" s="9">
        <f t="shared" ca="1" si="27"/>
        <v>784700.00000000012</v>
      </c>
      <c r="J278" s="22">
        <f ca="1">IF(Salary[[#This Row],[پایه حقوق]]&lt;=5600000,0,(Salary[[#This Row],[پایه حقوق]]-5600000)*0.1)</f>
        <v>561000</v>
      </c>
      <c r="K278" s="16">
        <f t="shared" ca="1" si="28"/>
        <v>9864300</v>
      </c>
    </row>
    <row r="279" spans="1:11">
      <c r="A279" s="1">
        <v>9989589</v>
      </c>
      <c r="B279" s="7">
        <f t="shared" ca="1" si="24"/>
        <v>31</v>
      </c>
      <c r="C279" s="7">
        <f>MATCH(Salary[[#This Row],[ماه]],Calc!$A$16:$A$27,0)</f>
        <v>5</v>
      </c>
      <c r="D279" s="8" t="s">
        <v>90</v>
      </c>
      <c r="E279" s="9">
        <f t="shared" ca="1" si="29"/>
        <v>5148000</v>
      </c>
      <c r="F279" s="9"/>
      <c r="G279" s="9">
        <f t="shared" ca="1" si="25"/>
        <v>5148000</v>
      </c>
      <c r="H279" s="9">
        <f t="shared" ca="1" si="26"/>
        <v>1184040</v>
      </c>
      <c r="I279" s="9">
        <f t="shared" ca="1" si="27"/>
        <v>360360.00000000006</v>
      </c>
      <c r="J279" s="22">
        <f ca="1">IF(Salary[[#This Row],[پایه حقوق]]&lt;=5600000,0,(Salary[[#This Row],[پایه حقوق]]-5600000)*0.1)</f>
        <v>0</v>
      </c>
      <c r="K279" s="16">
        <f t="shared" ca="1" si="28"/>
        <v>4787640</v>
      </c>
    </row>
    <row r="280" spans="1:11">
      <c r="A280" s="1">
        <v>9989637</v>
      </c>
      <c r="B280" s="7">
        <f t="shared" ca="1" si="24"/>
        <v>75</v>
      </c>
      <c r="C280" s="7">
        <f>MATCH(Salary[[#This Row],[ماه]],Calc!$A$16:$A$27,0)</f>
        <v>5</v>
      </c>
      <c r="D280" s="8" t="s">
        <v>90</v>
      </c>
      <c r="E280" s="9">
        <f t="shared" ca="1" si="29"/>
        <v>4178000</v>
      </c>
      <c r="F280" s="9"/>
      <c r="G280" s="9">
        <f t="shared" ca="1" si="25"/>
        <v>4178000</v>
      </c>
      <c r="H280" s="9">
        <f t="shared" ca="1" si="26"/>
        <v>960940</v>
      </c>
      <c r="I280" s="9">
        <f t="shared" ca="1" si="27"/>
        <v>292460</v>
      </c>
      <c r="J280" s="22">
        <f ca="1">IF(Salary[[#This Row],[پایه حقوق]]&lt;=5600000,0,(Salary[[#This Row],[پایه حقوق]]-5600000)*0.1)</f>
        <v>0</v>
      </c>
      <c r="K280" s="16">
        <f t="shared" ca="1" si="28"/>
        <v>3885540</v>
      </c>
    </row>
    <row r="281" spans="1:11">
      <c r="A281" s="1">
        <v>9989685</v>
      </c>
      <c r="B281" s="7">
        <f t="shared" ca="1" si="24"/>
        <v>94</v>
      </c>
      <c r="C281" s="7">
        <f>MATCH(Salary[[#This Row],[ماه]],Calc!$A$16:$A$27,0)</f>
        <v>5</v>
      </c>
      <c r="D281" s="8" t="s">
        <v>90</v>
      </c>
      <c r="E281" s="9">
        <f t="shared" ca="1" si="29"/>
        <v>13101000</v>
      </c>
      <c r="F281" s="9"/>
      <c r="G281" s="9">
        <f t="shared" ca="1" si="25"/>
        <v>13101000</v>
      </c>
      <c r="H281" s="9">
        <f t="shared" ca="1" si="26"/>
        <v>3013230</v>
      </c>
      <c r="I281" s="9">
        <f t="shared" ca="1" si="27"/>
        <v>917070.00000000012</v>
      </c>
      <c r="J281" s="22">
        <f ca="1">IF(Salary[[#This Row],[پایه حقوق]]&lt;=5600000,0,(Salary[[#This Row],[پایه حقوق]]-5600000)*0.1)</f>
        <v>750100</v>
      </c>
      <c r="K281" s="16">
        <f t="shared" ca="1" si="28"/>
        <v>11433830</v>
      </c>
    </row>
    <row r="282" spans="1:11">
      <c r="A282" s="1">
        <v>9989733</v>
      </c>
      <c r="B282" s="7">
        <f t="shared" ca="1" si="24"/>
        <v>98</v>
      </c>
      <c r="C282" s="7">
        <f>MATCH(Salary[[#This Row],[ماه]],Calc!$A$16:$A$27,0)</f>
        <v>5</v>
      </c>
      <c r="D282" s="8" t="s">
        <v>90</v>
      </c>
      <c r="E282" s="9">
        <f t="shared" ca="1" si="29"/>
        <v>4040000</v>
      </c>
      <c r="F282" s="9"/>
      <c r="G282" s="9">
        <f t="shared" ca="1" si="25"/>
        <v>4040000</v>
      </c>
      <c r="H282" s="9">
        <f t="shared" ca="1" si="26"/>
        <v>929200</v>
      </c>
      <c r="I282" s="9">
        <f t="shared" ca="1" si="27"/>
        <v>282800</v>
      </c>
      <c r="J282" s="22">
        <f ca="1">IF(Salary[[#This Row],[پایه حقوق]]&lt;=5600000,0,(Salary[[#This Row],[پایه حقوق]]-5600000)*0.1)</f>
        <v>0</v>
      </c>
      <c r="K282" s="16">
        <f t="shared" ca="1" si="28"/>
        <v>3757200</v>
      </c>
    </row>
    <row r="283" spans="1:11">
      <c r="A283" s="1">
        <v>9989781</v>
      </c>
      <c r="B283" s="7">
        <f t="shared" ca="1" si="24"/>
        <v>74</v>
      </c>
      <c r="C283" s="7">
        <f>MATCH(Salary[[#This Row],[ماه]],Calc!$A$16:$A$27,0)</f>
        <v>5</v>
      </c>
      <c r="D283" s="8" t="s">
        <v>90</v>
      </c>
      <c r="E283" s="9">
        <f t="shared" ca="1" si="29"/>
        <v>13109000</v>
      </c>
      <c r="F283" s="9"/>
      <c r="G283" s="9">
        <f t="shared" ca="1" si="25"/>
        <v>13109000</v>
      </c>
      <c r="H283" s="9">
        <f t="shared" ca="1" si="26"/>
        <v>3015070</v>
      </c>
      <c r="I283" s="9">
        <f t="shared" ca="1" si="27"/>
        <v>917630.00000000012</v>
      </c>
      <c r="J283" s="22">
        <f ca="1">IF(Salary[[#This Row],[پایه حقوق]]&lt;=5600000,0,(Salary[[#This Row],[پایه حقوق]]-5600000)*0.1)</f>
        <v>750900</v>
      </c>
      <c r="K283" s="16">
        <f t="shared" ca="1" si="28"/>
        <v>11440470</v>
      </c>
    </row>
    <row r="284" spans="1:11">
      <c r="A284" s="1">
        <v>9989829</v>
      </c>
      <c r="B284" s="7">
        <f t="shared" ca="1" si="24"/>
        <v>31</v>
      </c>
      <c r="C284" s="7">
        <f>MATCH(Salary[[#This Row],[ماه]],Calc!$A$16:$A$27,0)</f>
        <v>5</v>
      </c>
      <c r="D284" s="8" t="s">
        <v>90</v>
      </c>
      <c r="E284" s="9">
        <f t="shared" ca="1" si="29"/>
        <v>9505000</v>
      </c>
      <c r="F284" s="9"/>
      <c r="G284" s="9">
        <f t="shared" ca="1" si="25"/>
        <v>9505000</v>
      </c>
      <c r="H284" s="9">
        <f t="shared" ca="1" si="26"/>
        <v>2186150</v>
      </c>
      <c r="I284" s="9">
        <f t="shared" ca="1" si="27"/>
        <v>665350.00000000012</v>
      </c>
      <c r="J284" s="22">
        <f ca="1">IF(Salary[[#This Row],[پایه حقوق]]&lt;=5600000,0,(Salary[[#This Row],[پایه حقوق]]-5600000)*0.1)</f>
        <v>390500</v>
      </c>
      <c r="K284" s="16">
        <f t="shared" ca="1" si="28"/>
        <v>8449150</v>
      </c>
    </row>
    <row r="285" spans="1:11">
      <c r="A285" s="1">
        <v>9989877</v>
      </c>
      <c r="B285" s="7">
        <f t="shared" ca="1" si="24"/>
        <v>56</v>
      </c>
      <c r="C285" s="7">
        <f>MATCH(Salary[[#This Row],[ماه]],Calc!$A$16:$A$27,0)</f>
        <v>5</v>
      </c>
      <c r="D285" s="8" t="s">
        <v>90</v>
      </c>
      <c r="E285" s="9">
        <f t="shared" ca="1" si="29"/>
        <v>3000000</v>
      </c>
      <c r="F285" s="9"/>
      <c r="G285" s="9">
        <f t="shared" ca="1" si="25"/>
        <v>3000000</v>
      </c>
      <c r="H285" s="9">
        <f t="shared" ca="1" si="26"/>
        <v>690000</v>
      </c>
      <c r="I285" s="9">
        <f t="shared" ca="1" si="27"/>
        <v>210000.00000000003</v>
      </c>
      <c r="J285" s="22">
        <f ca="1">IF(Salary[[#This Row],[پایه حقوق]]&lt;=5600000,0,(Salary[[#This Row],[پایه حقوق]]-5600000)*0.1)</f>
        <v>0</v>
      </c>
      <c r="K285" s="16">
        <f t="shared" ca="1" si="28"/>
        <v>2790000</v>
      </c>
    </row>
    <row r="286" spans="1:11">
      <c r="A286" s="1">
        <v>9989925</v>
      </c>
      <c r="B286" s="7">
        <f t="shared" ca="1" si="24"/>
        <v>75</v>
      </c>
      <c r="C286" s="7">
        <f>MATCH(Salary[[#This Row],[ماه]],Calc!$A$16:$A$27,0)</f>
        <v>5</v>
      </c>
      <c r="D286" s="8" t="s">
        <v>90</v>
      </c>
      <c r="E286" s="9">
        <f t="shared" ca="1" si="29"/>
        <v>11820000</v>
      </c>
      <c r="F286" s="9"/>
      <c r="G286" s="9">
        <f t="shared" ca="1" si="25"/>
        <v>11820000</v>
      </c>
      <c r="H286" s="9">
        <f t="shared" ca="1" si="26"/>
        <v>2718600</v>
      </c>
      <c r="I286" s="9">
        <f t="shared" ca="1" si="27"/>
        <v>827400.00000000012</v>
      </c>
      <c r="J286" s="22">
        <f ca="1">IF(Salary[[#This Row],[پایه حقوق]]&lt;=5600000,0,(Salary[[#This Row],[پایه حقوق]]-5600000)*0.1)</f>
        <v>622000</v>
      </c>
      <c r="K286" s="16">
        <f t="shared" ca="1" si="28"/>
        <v>10370600</v>
      </c>
    </row>
    <row r="287" spans="1:11">
      <c r="A287" s="1">
        <v>9989973</v>
      </c>
      <c r="B287" s="7">
        <f t="shared" ca="1" si="24"/>
        <v>74</v>
      </c>
      <c r="C287" s="7">
        <f>MATCH(Salary[[#This Row],[ماه]],Calc!$A$16:$A$27,0)</f>
        <v>5</v>
      </c>
      <c r="D287" s="8" t="s">
        <v>90</v>
      </c>
      <c r="E287" s="9">
        <f t="shared" ca="1" si="29"/>
        <v>3886000</v>
      </c>
      <c r="F287" s="9"/>
      <c r="G287" s="9">
        <f t="shared" ca="1" si="25"/>
        <v>3886000</v>
      </c>
      <c r="H287" s="9">
        <f t="shared" ca="1" si="26"/>
        <v>893780</v>
      </c>
      <c r="I287" s="9">
        <f t="shared" ca="1" si="27"/>
        <v>272020</v>
      </c>
      <c r="J287" s="22">
        <f ca="1">IF(Salary[[#This Row],[پایه حقوق]]&lt;=5600000,0,(Salary[[#This Row],[پایه حقوق]]-5600000)*0.1)</f>
        <v>0</v>
      </c>
      <c r="K287" s="16">
        <f t="shared" ca="1" si="28"/>
        <v>3613980</v>
      </c>
    </row>
    <row r="288" spans="1:11">
      <c r="A288" s="1">
        <v>9990021</v>
      </c>
      <c r="B288" s="7">
        <f t="shared" ca="1" si="24"/>
        <v>97</v>
      </c>
      <c r="C288" s="7">
        <f>MATCH(Salary[[#This Row],[ماه]],Calc!$A$16:$A$27,0)</f>
        <v>5</v>
      </c>
      <c r="D288" s="8" t="s">
        <v>90</v>
      </c>
      <c r="E288" s="9">
        <f t="shared" ca="1" si="29"/>
        <v>5645000</v>
      </c>
      <c r="F288" s="9"/>
      <c r="G288" s="9">
        <f t="shared" ca="1" si="25"/>
        <v>5645000</v>
      </c>
      <c r="H288" s="9">
        <f t="shared" ca="1" si="26"/>
        <v>1298350</v>
      </c>
      <c r="I288" s="9">
        <f t="shared" ca="1" si="27"/>
        <v>395150.00000000006</v>
      </c>
      <c r="J288" s="22">
        <f ca="1">IF(Salary[[#This Row],[پایه حقوق]]&lt;=5600000,0,(Salary[[#This Row],[پایه حقوق]]-5600000)*0.1)</f>
        <v>4500</v>
      </c>
      <c r="K288" s="16">
        <f t="shared" ca="1" si="28"/>
        <v>5245350</v>
      </c>
    </row>
    <row r="289" spans="1:11">
      <c r="A289" s="1">
        <v>9990069</v>
      </c>
      <c r="B289" s="7">
        <f t="shared" ca="1" si="24"/>
        <v>93</v>
      </c>
      <c r="C289" s="7">
        <f>MATCH(Salary[[#This Row],[ماه]],Calc!$A$16:$A$27,0)</f>
        <v>5</v>
      </c>
      <c r="D289" s="8" t="s">
        <v>90</v>
      </c>
      <c r="E289" s="9">
        <f t="shared" ca="1" si="29"/>
        <v>13710000</v>
      </c>
      <c r="F289" s="9"/>
      <c r="G289" s="9">
        <f t="shared" ca="1" si="25"/>
        <v>13710000</v>
      </c>
      <c r="H289" s="9">
        <f t="shared" ca="1" si="26"/>
        <v>3153300</v>
      </c>
      <c r="I289" s="9">
        <f t="shared" ca="1" si="27"/>
        <v>959700.00000000012</v>
      </c>
      <c r="J289" s="22">
        <f ca="1">IF(Salary[[#This Row],[پایه حقوق]]&lt;=5600000,0,(Salary[[#This Row],[پایه حقوق]]-5600000)*0.1)</f>
        <v>811000</v>
      </c>
      <c r="K289" s="16">
        <f t="shared" ca="1" si="28"/>
        <v>11939300</v>
      </c>
    </row>
    <row r="290" spans="1:11">
      <c r="A290" s="1">
        <v>9990117</v>
      </c>
      <c r="B290" s="7">
        <f t="shared" ca="1" si="24"/>
        <v>52</v>
      </c>
      <c r="C290" s="7">
        <f>MATCH(Salary[[#This Row],[ماه]],Calc!$A$16:$A$27,0)</f>
        <v>5</v>
      </c>
      <c r="D290" s="8" t="s">
        <v>90</v>
      </c>
      <c r="E290" s="9">
        <f t="shared" ca="1" si="29"/>
        <v>12754000</v>
      </c>
      <c r="F290" s="9"/>
      <c r="G290" s="9">
        <f t="shared" ca="1" si="25"/>
        <v>12754000</v>
      </c>
      <c r="H290" s="9">
        <f t="shared" ca="1" si="26"/>
        <v>2933420</v>
      </c>
      <c r="I290" s="9">
        <f t="shared" ca="1" si="27"/>
        <v>892780.00000000012</v>
      </c>
      <c r="J290" s="22">
        <f ca="1">IF(Salary[[#This Row],[پایه حقوق]]&lt;=5600000,0,(Salary[[#This Row],[پایه حقوق]]-5600000)*0.1)</f>
        <v>715400</v>
      </c>
      <c r="K290" s="16">
        <f t="shared" ca="1" si="28"/>
        <v>11145820</v>
      </c>
    </row>
    <row r="291" spans="1:11">
      <c r="A291" s="1">
        <v>9990165</v>
      </c>
      <c r="B291" s="7">
        <f t="shared" ca="1" si="24"/>
        <v>81</v>
      </c>
      <c r="C291" s="7">
        <f>MATCH(Salary[[#This Row],[ماه]],Calc!$A$16:$A$27,0)</f>
        <v>5</v>
      </c>
      <c r="D291" s="8" t="s">
        <v>90</v>
      </c>
      <c r="E291" s="9">
        <f t="shared" ca="1" si="29"/>
        <v>10804000</v>
      </c>
      <c r="F291" s="9"/>
      <c r="G291" s="9">
        <f t="shared" ca="1" si="25"/>
        <v>10804000</v>
      </c>
      <c r="H291" s="9">
        <f t="shared" ca="1" si="26"/>
        <v>2484920</v>
      </c>
      <c r="I291" s="9">
        <f t="shared" ca="1" si="27"/>
        <v>756280.00000000012</v>
      </c>
      <c r="J291" s="22">
        <f ca="1">IF(Salary[[#This Row],[پایه حقوق]]&lt;=5600000,0,(Salary[[#This Row],[پایه حقوق]]-5600000)*0.1)</f>
        <v>520400</v>
      </c>
      <c r="K291" s="16">
        <f t="shared" ca="1" si="28"/>
        <v>9527320</v>
      </c>
    </row>
    <row r="292" spans="1:11">
      <c r="A292" s="1">
        <v>9990213</v>
      </c>
      <c r="B292" s="7">
        <f t="shared" ca="1" si="24"/>
        <v>48</v>
      </c>
      <c r="C292" s="7">
        <f>MATCH(Salary[[#This Row],[ماه]],Calc!$A$16:$A$27,0)</f>
        <v>5</v>
      </c>
      <c r="D292" s="8" t="s">
        <v>90</v>
      </c>
      <c r="E292" s="9">
        <f t="shared" ca="1" si="29"/>
        <v>6684000</v>
      </c>
      <c r="F292" s="9"/>
      <c r="G292" s="9">
        <f t="shared" ca="1" si="25"/>
        <v>6684000</v>
      </c>
      <c r="H292" s="9">
        <f t="shared" ca="1" si="26"/>
        <v>1537320</v>
      </c>
      <c r="I292" s="9">
        <f t="shared" ca="1" si="27"/>
        <v>467880.00000000006</v>
      </c>
      <c r="J292" s="22">
        <f ca="1">IF(Salary[[#This Row],[پایه حقوق]]&lt;=5600000,0,(Salary[[#This Row],[پایه حقوق]]-5600000)*0.1)</f>
        <v>108400</v>
      </c>
      <c r="K292" s="16">
        <f t="shared" ca="1" si="28"/>
        <v>6107720</v>
      </c>
    </row>
    <row r="293" spans="1:11">
      <c r="A293" s="1">
        <v>9990261</v>
      </c>
      <c r="B293" s="7">
        <f t="shared" ca="1" si="24"/>
        <v>31</v>
      </c>
      <c r="C293" s="7">
        <f>MATCH(Salary[[#This Row],[ماه]],Calc!$A$16:$A$27,0)</f>
        <v>5</v>
      </c>
      <c r="D293" s="8" t="s">
        <v>90</v>
      </c>
      <c r="E293" s="9">
        <f t="shared" ca="1" si="29"/>
        <v>14744000</v>
      </c>
      <c r="F293" s="9"/>
      <c r="G293" s="9">
        <f t="shared" ca="1" si="25"/>
        <v>14744000</v>
      </c>
      <c r="H293" s="9">
        <f t="shared" ca="1" si="26"/>
        <v>3391120</v>
      </c>
      <c r="I293" s="9">
        <f t="shared" ca="1" si="27"/>
        <v>1032080.0000000001</v>
      </c>
      <c r="J293" s="22">
        <f ca="1">IF(Salary[[#This Row],[پایه حقوق]]&lt;=5600000,0,(Salary[[#This Row],[پایه حقوق]]-5600000)*0.1)</f>
        <v>914400</v>
      </c>
      <c r="K293" s="16">
        <f t="shared" ca="1" si="28"/>
        <v>12797520</v>
      </c>
    </row>
    <row r="294" spans="1:11">
      <c r="A294" s="1">
        <v>9990309</v>
      </c>
      <c r="B294" s="7">
        <f t="shared" ca="1" si="24"/>
        <v>98</v>
      </c>
      <c r="C294" s="7">
        <f>MATCH(Salary[[#This Row],[ماه]],Calc!$A$16:$A$27,0)</f>
        <v>5</v>
      </c>
      <c r="D294" s="8" t="s">
        <v>90</v>
      </c>
      <c r="E294" s="9">
        <f t="shared" ca="1" si="29"/>
        <v>7958000</v>
      </c>
      <c r="F294" s="9"/>
      <c r="G294" s="9">
        <f t="shared" ca="1" si="25"/>
        <v>7958000</v>
      </c>
      <c r="H294" s="9">
        <f t="shared" ca="1" si="26"/>
        <v>1830340</v>
      </c>
      <c r="I294" s="9">
        <f t="shared" ca="1" si="27"/>
        <v>557060</v>
      </c>
      <c r="J294" s="22">
        <f ca="1">IF(Salary[[#This Row],[پایه حقوق]]&lt;=5600000,0,(Salary[[#This Row],[پایه حقوق]]-5600000)*0.1)</f>
        <v>235800</v>
      </c>
      <c r="K294" s="16">
        <f t="shared" ca="1" si="28"/>
        <v>7165140</v>
      </c>
    </row>
    <row r="295" spans="1:11">
      <c r="A295" s="1">
        <v>9990357</v>
      </c>
      <c r="B295" s="7">
        <f t="shared" ca="1" si="24"/>
        <v>39</v>
      </c>
      <c r="C295" s="7">
        <f>MATCH(Salary[[#This Row],[ماه]],Calc!$A$16:$A$27,0)</f>
        <v>5</v>
      </c>
      <c r="D295" s="8" t="s">
        <v>90</v>
      </c>
      <c r="E295" s="9">
        <f t="shared" ca="1" si="29"/>
        <v>3832000</v>
      </c>
      <c r="F295" s="9"/>
      <c r="G295" s="9">
        <f t="shared" ca="1" si="25"/>
        <v>3832000</v>
      </c>
      <c r="H295" s="9">
        <f t="shared" ca="1" si="26"/>
        <v>881360</v>
      </c>
      <c r="I295" s="9">
        <f t="shared" ca="1" si="27"/>
        <v>268240</v>
      </c>
      <c r="J295" s="22">
        <f ca="1">IF(Salary[[#This Row],[پایه حقوق]]&lt;=5600000,0,(Salary[[#This Row],[پایه حقوق]]-5600000)*0.1)</f>
        <v>0</v>
      </c>
      <c r="K295" s="16">
        <f t="shared" ca="1" si="28"/>
        <v>3563760</v>
      </c>
    </row>
    <row r="296" spans="1:11">
      <c r="A296" s="1">
        <v>9990405</v>
      </c>
      <c r="B296" s="7">
        <f t="shared" ca="1" si="24"/>
        <v>70</v>
      </c>
      <c r="C296" s="7">
        <f>MATCH(Salary[[#This Row],[ماه]],Calc!$A$16:$A$27,0)</f>
        <v>5</v>
      </c>
      <c r="D296" s="8" t="s">
        <v>90</v>
      </c>
      <c r="E296" s="9">
        <f t="shared" ca="1" si="29"/>
        <v>6177000</v>
      </c>
      <c r="F296" s="9"/>
      <c r="G296" s="9">
        <f t="shared" ca="1" si="25"/>
        <v>6177000</v>
      </c>
      <c r="H296" s="9">
        <f t="shared" ca="1" si="26"/>
        <v>1420710</v>
      </c>
      <c r="I296" s="9">
        <f t="shared" ca="1" si="27"/>
        <v>432390.00000000006</v>
      </c>
      <c r="J296" s="22">
        <f ca="1">IF(Salary[[#This Row],[پایه حقوق]]&lt;=5600000,0,(Salary[[#This Row],[پایه حقوق]]-5600000)*0.1)</f>
        <v>57700</v>
      </c>
      <c r="K296" s="16">
        <f t="shared" ca="1" si="28"/>
        <v>5686910</v>
      </c>
    </row>
    <row r="297" spans="1:11">
      <c r="A297" s="1">
        <v>9990453</v>
      </c>
      <c r="B297" s="7">
        <f t="shared" ca="1" si="24"/>
        <v>89</v>
      </c>
      <c r="C297" s="7">
        <f>MATCH(Salary[[#This Row],[ماه]],Calc!$A$16:$A$27,0)</f>
        <v>5</v>
      </c>
      <c r="D297" s="8" t="s">
        <v>90</v>
      </c>
      <c r="E297" s="9">
        <f t="shared" ca="1" si="29"/>
        <v>4858000</v>
      </c>
      <c r="F297" s="9"/>
      <c r="G297" s="9">
        <f t="shared" ca="1" si="25"/>
        <v>4858000</v>
      </c>
      <c r="H297" s="9">
        <f t="shared" ca="1" si="26"/>
        <v>1117340</v>
      </c>
      <c r="I297" s="9">
        <f t="shared" ca="1" si="27"/>
        <v>340060.00000000006</v>
      </c>
      <c r="J297" s="22">
        <f ca="1">IF(Salary[[#This Row],[پایه حقوق]]&lt;=5600000,0,(Salary[[#This Row],[پایه حقوق]]-5600000)*0.1)</f>
        <v>0</v>
      </c>
      <c r="K297" s="16">
        <f t="shared" ca="1" si="28"/>
        <v>4517940</v>
      </c>
    </row>
    <row r="298" spans="1:11">
      <c r="A298" s="1">
        <v>9990501</v>
      </c>
      <c r="B298" s="7">
        <f t="shared" ca="1" si="24"/>
        <v>55</v>
      </c>
      <c r="C298" s="7">
        <f>MATCH(Salary[[#This Row],[ماه]],Calc!$A$16:$A$27,0)</f>
        <v>5</v>
      </c>
      <c r="D298" s="8" t="s">
        <v>90</v>
      </c>
      <c r="E298" s="9">
        <f t="shared" ca="1" si="29"/>
        <v>3462000</v>
      </c>
      <c r="F298" s="9"/>
      <c r="G298" s="9">
        <f t="shared" ca="1" si="25"/>
        <v>3462000</v>
      </c>
      <c r="H298" s="9">
        <f t="shared" ca="1" si="26"/>
        <v>796260</v>
      </c>
      <c r="I298" s="9">
        <f t="shared" ca="1" si="27"/>
        <v>242340.00000000003</v>
      </c>
      <c r="J298" s="22">
        <f ca="1">IF(Salary[[#This Row],[پایه حقوق]]&lt;=5600000,0,(Salary[[#This Row],[پایه حقوق]]-5600000)*0.1)</f>
        <v>0</v>
      </c>
      <c r="K298" s="16">
        <f t="shared" ca="1" si="28"/>
        <v>3219660</v>
      </c>
    </row>
    <row r="299" spans="1:11">
      <c r="A299" s="1">
        <v>9990549</v>
      </c>
      <c r="B299" s="7">
        <f t="shared" ca="1" si="24"/>
        <v>67</v>
      </c>
      <c r="C299" s="7">
        <f>MATCH(Salary[[#This Row],[ماه]],Calc!$A$16:$A$27,0)</f>
        <v>5</v>
      </c>
      <c r="D299" s="8" t="s">
        <v>90</v>
      </c>
      <c r="E299" s="9">
        <f t="shared" ca="1" si="29"/>
        <v>5493000</v>
      </c>
      <c r="F299" s="9"/>
      <c r="G299" s="9">
        <f t="shared" ca="1" si="25"/>
        <v>5493000</v>
      </c>
      <c r="H299" s="9">
        <f t="shared" ca="1" si="26"/>
        <v>1263390</v>
      </c>
      <c r="I299" s="9">
        <f t="shared" ca="1" si="27"/>
        <v>384510.00000000006</v>
      </c>
      <c r="J299" s="22">
        <f ca="1">IF(Salary[[#This Row],[پایه حقوق]]&lt;=5600000,0,(Salary[[#This Row],[پایه حقوق]]-5600000)*0.1)</f>
        <v>0</v>
      </c>
      <c r="K299" s="16">
        <f t="shared" ca="1" si="28"/>
        <v>5108490</v>
      </c>
    </row>
    <row r="300" spans="1:11">
      <c r="A300" s="1">
        <v>9990597</v>
      </c>
      <c r="B300" s="7">
        <f t="shared" ca="1" si="24"/>
        <v>82</v>
      </c>
      <c r="C300" s="7">
        <f>MATCH(Salary[[#This Row],[ماه]],Calc!$A$16:$A$27,0)</f>
        <v>5</v>
      </c>
      <c r="D300" s="8" t="s">
        <v>90</v>
      </c>
      <c r="E300" s="9">
        <f t="shared" ca="1" si="29"/>
        <v>10819000</v>
      </c>
      <c r="F300" s="9"/>
      <c r="G300" s="9">
        <f t="shared" ca="1" si="25"/>
        <v>10819000</v>
      </c>
      <c r="H300" s="9">
        <f t="shared" ca="1" si="26"/>
        <v>2488370</v>
      </c>
      <c r="I300" s="9">
        <f t="shared" ca="1" si="27"/>
        <v>757330.00000000012</v>
      </c>
      <c r="J300" s="22">
        <f ca="1">IF(Salary[[#This Row],[پایه حقوق]]&lt;=5600000,0,(Salary[[#This Row],[پایه حقوق]]-5600000)*0.1)</f>
        <v>521900</v>
      </c>
      <c r="K300" s="16">
        <f t="shared" ca="1" si="28"/>
        <v>9539770</v>
      </c>
    </row>
    <row r="301" spans="1:11">
      <c r="A301" s="1">
        <v>9990645</v>
      </c>
      <c r="B301" s="7">
        <f t="shared" ca="1" si="24"/>
        <v>89</v>
      </c>
      <c r="C301" s="7">
        <f>MATCH(Salary[[#This Row],[ماه]],Calc!$A$16:$A$27,0)</f>
        <v>5</v>
      </c>
      <c r="D301" s="8" t="s">
        <v>90</v>
      </c>
      <c r="E301" s="9">
        <f t="shared" ca="1" si="29"/>
        <v>12432000</v>
      </c>
      <c r="F301" s="9"/>
      <c r="G301" s="9">
        <f t="shared" ca="1" si="25"/>
        <v>12432000</v>
      </c>
      <c r="H301" s="9">
        <f t="shared" ca="1" si="26"/>
        <v>2859360</v>
      </c>
      <c r="I301" s="9">
        <f t="shared" ca="1" si="27"/>
        <v>870240.00000000012</v>
      </c>
      <c r="J301" s="22">
        <f ca="1">IF(Salary[[#This Row],[پایه حقوق]]&lt;=5600000,0,(Salary[[#This Row],[پایه حقوق]]-5600000)*0.1)</f>
        <v>683200</v>
      </c>
      <c r="K301" s="16">
        <f t="shared" ca="1" si="28"/>
        <v>10878560</v>
      </c>
    </row>
    <row r="302" spans="1:11">
      <c r="A302" s="1">
        <v>9987656</v>
      </c>
      <c r="B302" s="7">
        <f t="shared" ca="1" si="24"/>
        <v>83</v>
      </c>
      <c r="C302" s="7">
        <f>MATCH(Salary[[#This Row],[ماه]],Calc!$A$16:$A$27,0)</f>
        <v>6</v>
      </c>
      <c r="D302" s="8" t="s">
        <v>91</v>
      </c>
      <c r="E302" s="9">
        <f t="shared" ca="1" si="29"/>
        <v>4610000</v>
      </c>
      <c r="F302" s="9">
        <f ca="1">0.7*E302</f>
        <v>3227000</v>
      </c>
      <c r="G302" s="9">
        <f t="shared" ca="1" si="25"/>
        <v>7837000</v>
      </c>
      <c r="H302" s="9">
        <f t="shared" ca="1" si="26"/>
        <v>1060300</v>
      </c>
      <c r="I302" s="9">
        <f t="shared" ca="1" si="27"/>
        <v>322700.00000000006</v>
      </c>
      <c r="J302" s="22">
        <f ca="1">IF(Salary[[#This Row],[پایه حقوق]]&lt;=5600000,0,(Salary[[#This Row],[پایه حقوق]]-5600000)*0.1)</f>
        <v>0</v>
      </c>
      <c r="K302" s="16">
        <f t="shared" ca="1" si="28"/>
        <v>7514300</v>
      </c>
    </row>
    <row r="303" spans="1:11">
      <c r="A303" s="1">
        <v>9987728</v>
      </c>
      <c r="B303" s="7">
        <f t="shared" ca="1" si="24"/>
        <v>33</v>
      </c>
      <c r="C303" s="7">
        <f>MATCH(Salary[[#This Row],[ماه]],Calc!$A$16:$A$27,0)</f>
        <v>6</v>
      </c>
      <c r="D303" s="8" t="s">
        <v>91</v>
      </c>
      <c r="E303" s="9">
        <f t="shared" ca="1" si="29"/>
        <v>14759000</v>
      </c>
      <c r="F303" s="9"/>
      <c r="G303" s="9">
        <f t="shared" ca="1" si="25"/>
        <v>14759000</v>
      </c>
      <c r="H303" s="9">
        <f t="shared" ca="1" si="26"/>
        <v>3394570</v>
      </c>
      <c r="I303" s="9">
        <f t="shared" ca="1" si="27"/>
        <v>1033130.0000000001</v>
      </c>
      <c r="J303" s="22">
        <f ca="1">IF(Salary[[#This Row],[پایه حقوق]]&lt;=5600000,0,(Salary[[#This Row],[پایه حقوق]]-5600000)*0.1)</f>
        <v>915900</v>
      </c>
      <c r="K303" s="16">
        <f t="shared" ca="1" si="28"/>
        <v>12809970</v>
      </c>
    </row>
    <row r="304" spans="1:11">
      <c r="A304" s="1">
        <v>9987826</v>
      </c>
      <c r="B304" s="7">
        <f t="shared" ca="1" si="24"/>
        <v>77</v>
      </c>
      <c r="C304" s="7">
        <f>MATCH(Salary[[#This Row],[ماه]],Calc!$A$16:$A$27,0)</f>
        <v>6</v>
      </c>
      <c r="D304" s="8" t="s">
        <v>91</v>
      </c>
      <c r="E304" s="9">
        <f t="shared" ca="1" si="29"/>
        <v>10900000</v>
      </c>
      <c r="F304" s="9">
        <f ca="1">0.7*E304</f>
        <v>7629999.9999999991</v>
      </c>
      <c r="G304" s="9">
        <f t="shared" ca="1" si="25"/>
        <v>18530000</v>
      </c>
      <c r="H304" s="9">
        <f t="shared" ca="1" si="26"/>
        <v>2507000</v>
      </c>
      <c r="I304" s="9">
        <f t="shared" ca="1" si="27"/>
        <v>763000.00000000012</v>
      </c>
      <c r="J304" s="22">
        <f ca="1">IF(Salary[[#This Row],[پایه حقوق]]&lt;=5600000,0,(Salary[[#This Row],[پایه حقوق]]-5600000)*0.1)</f>
        <v>530000</v>
      </c>
      <c r="K304" s="16">
        <f t="shared" ca="1" si="28"/>
        <v>17237000</v>
      </c>
    </row>
    <row r="305" spans="1:11">
      <c r="A305" s="1">
        <v>9987915</v>
      </c>
      <c r="B305" s="7">
        <f t="shared" ca="1" si="24"/>
        <v>64</v>
      </c>
      <c r="C305" s="7">
        <f>MATCH(Salary[[#This Row],[ماه]],Calc!$A$16:$A$27,0)</f>
        <v>6</v>
      </c>
      <c r="D305" s="8" t="s">
        <v>91</v>
      </c>
      <c r="E305" s="9">
        <f t="shared" ca="1" si="29"/>
        <v>4650000</v>
      </c>
      <c r="F305" s="9">
        <f ca="1">0.7*E305</f>
        <v>3255000</v>
      </c>
      <c r="G305" s="9">
        <f t="shared" ca="1" si="25"/>
        <v>7905000</v>
      </c>
      <c r="H305" s="9">
        <f t="shared" ca="1" si="26"/>
        <v>1069500</v>
      </c>
      <c r="I305" s="9">
        <f t="shared" ca="1" si="27"/>
        <v>325500.00000000006</v>
      </c>
      <c r="J305" s="22">
        <f ca="1">IF(Salary[[#This Row],[پایه حقوق]]&lt;=5600000,0,(Salary[[#This Row],[پایه حقوق]]-5600000)*0.1)</f>
        <v>0</v>
      </c>
      <c r="K305" s="16">
        <f t="shared" ca="1" si="28"/>
        <v>7579500</v>
      </c>
    </row>
    <row r="306" spans="1:11">
      <c r="A306" s="1">
        <v>9987938</v>
      </c>
      <c r="B306" s="7">
        <f t="shared" ca="1" si="24"/>
        <v>68</v>
      </c>
      <c r="C306" s="7">
        <f>MATCH(Salary[[#This Row],[ماه]],Calc!$A$16:$A$27,0)</f>
        <v>6</v>
      </c>
      <c r="D306" s="8" t="s">
        <v>91</v>
      </c>
      <c r="E306" s="9">
        <f t="shared" ca="1" si="29"/>
        <v>9801000</v>
      </c>
      <c r="F306" s="8"/>
      <c r="G306" s="9">
        <f t="shared" ca="1" si="25"/>
        <v>9801000</v>
      </c>
      <c r="H306" s="9">
        <f t="shared" ca="1" si="26"/>
        <v>2254230</v>
      </c>
      <c r="I306" s="9">
        <f t="shared" ca="1" si="27"/>
        <v>686070.00000000012</v>
      </c>
      <c r="J306" s="22">
        <f ca="1">IF(Salary[[#This Row],[پایه حقوق]]&lt;=5600000,0,(Salary[[#This Row],[پایه حقوق]]-5600000)*0.1)</f>
        <v>420100</v>
      </c>
      <c r="K306" s="16">
        <f t="shared" ca="1" si="28"/>
        <v>8694830</v>
      </c>
    </row>
    <row r="307" spans="1:11">
      <c r="A307" s="1">
        <v>9988023</v>
      </c>
      <c r="B307" s="7">
        <f t="shared" ca="1" si="24"/>
        <v>41</v>
      </c>
      <c r="C307" s="7">
        <f>MATCH(Salary[[#This Row],[ماه]],Calc!$A$16:$A$27,0)</f>
        <v>6</v>
      </c>
      <c r="D307" s="8" t="s">
        <v>91</v>
      </c>
      <c r="E307" s="9">
        <f t="shared" ca="1" si="29"/>
        <v>7074000</v>
      </c>
      <c r="F307" s="8"/>
      <c r="G307" s="9">
        <f t="shared" ca="1" si="25"/>
        <v>7074000</v>
      </c>
      <c r="H307" s="9">
        <f t="shared" ca="1" si="26"/>
        <v>1627020</v>
      </c>
      <c r="I307" s="9">
        <f t="shared" ca="1" si="27"/>
        <v>495180.00000000006</v>
      </c>
      <c r="J307" s="22">
        <f ca="1">IF(Salary[[#This Row],[پایه حقوق]]&lt;=5600000,0,(Salary[[#This Row],[پایه حقوق]]-5600000)*0.1)</f>
        <v>147400</v>
      </c>
      <c r="K307" s="16">
        <f t="shared" ca="1" si="28"/>
        <v>6431420</v>
      </c>
    </row>
    <row r="308" spans="1:11">
      <c r="A308" s="1">
        <v>9988106</v>
      </c>
      <c r="B308" s="7">
        <f t="shared" ca="1" si="24"/>
        <v>56</v>
      </c>
      <c r="C308" s="7">
        <f>MATCH(Salary[[#This Row],[ماه]],Calc!$A$16:$A$27,0)</f>
        <v>6</v>
      </c>
      <c r="D308" s="8" t="s">
        <v>91</v>
      </c>
      <c r="E308" s="9">
        <f t="shared" ca="1" si="29"/>
        <v>6856000</v>
      </c>
      <c r="F308" s="9"/>
      <c r="G308" s="9">
        <f t="shared" ca="1" si="25"/>
        <v>6856000</v>
      </c>
      <c r="H308" s="9">
        <f t="shared" ca="1" si="26"/>
        <v>1576880</v>
      </c>
      <c r="I308" s="9">
        <f t="shared" ca="1" si="27"/>
        <v>479920.00000000006</v>
      </c>
      <c r="J308" s="22">
        <f ca="1">IF(Salary[[#This Row],[پایه حقوق]]&lt;=5600000,0,(Salary[[#This Row],[پایه حقوق]]-5600000)*0.1)</f>
        <v>125600</v>
      </c>
      <c r="K308" s="16">
        <f t="shared" ca="1" si="28"/>
        <v>6250480</v>
      </c>
    </row>
    <row r="309" spans="1:11">
      <c r="A309" s="1">
        <v>9988137</v>
      </c>
      <c r="B309" s="7">
        <f t="shared" ca="1" si="24"/>
        <v>98</v>
      </c>
      <c r="C309" s="7">
        <f>MATCH(Salary[[#This Row],[ماه]],Calc!$A$16:$A$27,0)</f>
        <v>6</v>
      </c>
      <c r="D309" s="8" t="s">
        <v>91</v>
      </c>
      <c r="E309" s="9">
        <f t="shared" ca="1" si="29"/>
        <v>8717000</v>
      </c>
      <c r="F309" s="9"/>
      <c r="G309" s="9">
        <f t="shared" ca="1" si="25"/>
        <v>8717000</v>
      </c>
      <c r="H309" s="9">
        <f t="shared" ca="1" si="26"/>
        <v>2004910</v>
      </c>
      <c r="I309" s="9">
        <f t="shared" ca="1" si="27"/>
        <v>610190</v>
      </c>
      <c r="J309" s="22">
        <f ca="1">IF(Salary[[#This Row],[پایه حقوق]]&lt;=5600000,0,(Salary[[#This Row],[پایه حقوق]]-5600000)*0.1)</f>
        <v>311700</v>
      </c>
      <c r="K309" s="16">
        <f t="shared" ca="1" si="28"/>
        <v>7795110</v>
      </c>
    </row>
    <row r="310" spans="1:11">
      <c r="A310" s="1">
        <v>9988165</v>
      </c>
      <c r="B310" s="7">
        <f t="shared" ca="1" si="24"/>
        <v>42</v>
      </c>
      <c r="C310" s="7">
        <f>MATCH(Salary[[#This Row],[ماه]],Calc!$A$16:$A$27,0)</f>
        <v>6</v>
      </c>
      <c r="D310" s="8" t="s">
        <v>91</v>
      </c>
      <c r="E310" s="9">
        <f t="shared" ca="1" si="29"/>
        <v>12853000</v>
      </c>
      <c r="F310" s="9"/>
      <c r="G310" s="9">
        <f t="shared" ca="1" si="25"/>
        <v>12853000</v>
      </c>
      <c r="H310" s="9">
        <f t="shared" ca="1" si="26"/>
        <v>2956190</v>
      </c>
      <c r="I310" s="9">
        <f t="shared" ca="1" si="27"/>
        <v>899710.00000000012</v>
      </c>
      <c r="J310" s="22">
        <f ca="1">IF(Salary[[#This Row],[پایه حقوق]]&lt;=5600000,0,(Salary[[#This Row],[پایه حقوق]]-5600000)*0.1)</f>
        <v>725300</v>
      </c>
      <c r="K310" s="16">
        <f t="shared" ca="1" si="28"/>
        <v>11227990</v>
      </c>
    </row>
    <row r="311" spans="1:11">
      <c r="A311" s="1">
        <v>9988236</v>
      </c>
      <c r="B311" s="7">
        <f t="shared" ca="1" si="24"/>
        <v>39</v>
      </c>
      <c r="C311" s="7">
        <f>MATCH(Salary[[#This Row],[ماه]],Calc!$A$16:$A$27,0)</f>
        <v>6</v>
      </c>
      <c r="D311" s="8" t="s">
        <v>91</v>
      </c>
      <c r="E311" s="9">
        <f t="shared" ca="1" si="29"/>
        <v>5110000</v>
      </c>
      <c r="F311" s="9"/>
      <c r="G311" s="9">
        <f t="shared" ca="1" si="25"/>
        <v>5110000</v>
      </c>
      <c r="H311" s="9">
        <f t="shared" ca="1" si="26"/>
        <v>1175300</v>
      </c>
      <c r="I311" s="9">
        <f t="shared" ca="1" si="27"/>
        <v>357700.00000000006</v>
      </c>
      <c r="J311" s="22">
        <f ca="1">IF(Salary[[#This Row],[پایه حقوق]]&lt;=5600000,0,(Salary[[#This Row],[پایه حقوق]]-5600000)*0.1)</f>
        <v>0</v>
      </c>
      <c r="K311" s="16">
        <f t="shared" ca="1" si="28"/>
        <v>4752300</v>
      </c>
    </row>
    <row r="312" spans="1:11">
      <c r="A312" s="1">
        <v>9988277</v>
      </c>
      <c r="B312" s="7">
        <f t="shared" ca="1" si="24"/>
        <v>31</v>
      </c>
      <c r="C312" s="7">
        <f>MATCH(Salary[[#This Row],[ماه]],Calc!$A$16:$A$27,0)</f>
        <v>6</v>
      </c>
      <c r="D312" s="8" t="s">
        <v>91</v>
      </c>
      <c r="E312" s="9">
        <f t="shared" ca="1" si="29"/>
        <v>5530000</v>
      </c>
      <c r="F312" s="9"/>
      <c r="G312" s="9">
        <f t="shared" ca="1" si="25"/>
        <v>5530000</v>
      </c>
      <c r="H312" s="9">
        <f t="shared" ca="1" si="26"/>
        <v>1271900</v>
      </c>
      <c r="I312" s="9">
        <f t="shared" ca="1" si="27"/>
        <v>387100.00000000006</v>
      </c>
      <c r="J312" s="22">
        <f ca="1">IF(Salary[[#This Row],[پایه حقوق]]&lt;=5600000,0,(Salary[[#This Row],[پایه حقوق]]-5600000)*0.1)</f>
        <v>0</v>
      </c>
      <c r="K312" s="16">
        <f t="shared" ca="1" si="28"/>
        <v>5142900</v>
      </c>
    </row>
    <row r="313" spans="1:11">
      <c r="A313" s="1">
        <v>9988371</v>
      </c>
      <c r="B313" s="7">
        <f t="shared" ca="1" si="24"/>
        <v>45</v>
      </c>
      <c r="C313" s="7">
        <f>MATCH(Salary[[#This Row],[ماه]],Calc!$A$16:$A$27,0)</f>
        <v>6</v>
      </c>
      <c r="D313" s="8" t="s">
        <v>91</v>
      </c>
      <c r="E313" s="9">
        <f t="shared" ca="1" si="29"/>
        <v>8581000</v>
      </c>
      <c r="F313" s="8"/>
      <c r="G313" s="9">
        <f t="shared" ca="1" si="25"/>
        <v>8581000</v>
      </c>
      <c r="H313" s="9">
        <f t="shared" ca="1" si="26"/>
        <v>1973630</v>
      </c>
      <c r="I313" s="9">
        <f t="shared" ca="1" si="27"/>
        <v>600670</v>
      </c>
      <c r="J313" s="22">
        <f ca="1">IF(Salary[[#This Row],[پایه حقوق]]&lt;=5600000,0,(Salary[[#This Row],[پایه حقوق]]-5600000)*0.1)</f>
        <v>298100</v>
      </c>
      <c r="K313" s="16">
        <f t="shared" ca="1" si="28"/>
        <v>7682230</v>
      </c>
    </row>
    <row r="314" spans="1:11">
      <c r="A314" s="1">
        <v>9988393</v>
      </c>
      <c r="B314" s="7">
        <f t="shared" ca="1" si="24"/>
        <v>42</v>
      </c>
      <c r="C314" s="7">
        <f>MATCH(Salary[[#This Row],[ماه]],Calc!$A$16:$A$27,0)</f>
        <v>6</v>
      </c>
      <c r="D314" s="8" t="s">
        <v>91</v>
      </c>
      <c r="E314" s="9">
        <f t="shared" ca="1" si="29"/>
        <v>4742000</v>
      </c>
      <c r="F314" s="9"/>
      <c r="G314" s="9">
        <f t="shared" ca="1" si="25"/>
        <v>4742000</v>
      </c>
      <c r="H314" s="9">
        <f t="shared" ca="1" si="26"/>
        <v>1090660</v>
      </c>
      <c r="I314" s="9">
        <f t="shared" ca="1" si="27"/>
        <v>331940.00000000006</v>
      </c>
      <c r="J314" s="22">
        <f ca="1">IF(Salary[[#This Row],[پایه حقوق]]&lt;=5600000,0,(Salary[[#This Row],[پایه حقوق]]-5600000)*0.1)</f>
        <v>0</v>
      </c>
      <c r="K314" s="16">
        <f t="shared" ca="1" si="28"/>
        <v>4410060</v>
      </c>
    </row>
    <row r="315" spans="1:11">
      <c r="A315" s="1">
        <v>9988453</v>
      </c>
      <c r="B315" s="7">
        <f t="shared" ca="1" si="24"/>
        <v>96</v>
      </c>
      <c r="C315" s="7">
        <f>MATCH(Salary[[#This Row],[ماه]],Calc!$A$16:$A$27,0)</f>
        <v>6</v>
      </c>
      <c r="D315" s="8" t="s">
        <v>91</v>
      </c>
      <c r="E315" s="9">
        <f t="shared" ca="1" si="29"/>
        <v>12814000</v>
      </c>
      <c r="F315" s="9">
        <f ca="1">0.7*E315</f>
        <v>8969800</v>
      </c>
      <c r="G315" s="9">
        <f t="shared" ca="1" si="25"/>
        <v>21783800</v>
      </c>
      <c r="H315" s="9">
        <f t="shared" ca="1" si="26"/>
        <v>2947220</v>
      </c>
      <c r="I315" s="9">
        <f t="shared" ca="1" si="27"/>
        <v>896980.00000000012</v>
      </c>
      <c r="J315" s="22">
        <f ca="1">IF(Salary[[#This Row],[پایه حقوق]]&lt;=5600000,0,(Salary[[#This Row],[پایه حقوق]]-5600000)*0.1)</f>
        <v>721400</v>
      </c>
      <c r="K315" s="16">
        <f t="shared" ca="1" si="28"/>
        <v>20165420</v>
      </c>
    </row>
    <row r="316" spans="1:11">
      <c r="A316" s="1">
        <v>9988492</v>
      </c>
      <c r="B316" s="7">
        <f t="shared" ca="1" si="24"/>
        <v>78</v>
      </c>
      <c r="C316" s="7">
        <f>MATCH(Salary[[#This Row],[ماه]],Calc!$A$16:$A$27,0)</f>
        <v>6</v>
      </c>
      <c r="D316" s="8" t="s">
        <v>91</v>
      </c>
      <c r="E316" s="9">
        <f t="shared" ca="1" si="29"/>
        <v>9001000</v>
      </c>
      <c r="F316" s="9"/>
      <c r="G316" s="9">
        <f t="shared" ca="1" si="25"/>
        <v>9001000</v>
      </c>
      <c r="H316" s="9">
        <f t="shared" ca="1" si="26"/>
        <v>2070230</v>
      </c>
      <c r="I316" s="9">
        <f t="shared" ca="1" si="27"/>
        <v>630070.00000000012</v>
      </c>
      <c r="J316" s="22">
        <f ca="1">IF(Salary[[#This Row],[پایه حقوق]]&lt;=5600000,0,(Salary[[#This Row],[پایه حقوق]]-5600000)*0.1)</f>
        <v>340100</v>
      </c>
      <c r="K316" s="16">
        <f t="shared" ca="1" si="28"/>
        <v>8030830</v>
      </c>
    </row>
    <row r="317" spans="1:11">
      <c r="A317" s="1">
        <v>9988572</v>
      </c>
      <c r="B317" s="7">
        <f t="shared" ca="1" si="24"/>
        <v>34</v>
      </c>
      <c r="C317" s="7">
        <f>MATCH(Salary[[#This Row],[ماه]],Calc!$A$16:$A$27,0)</f>
        <v>6</v>
      </c>
      <c r="D317" s="8" t="s">
        <v>91</v>
      </c>
      <c r="E317" s="9">
        <f t="shared" ca="1" si="29"/>
        <v>12868000</v>
      </c>
      <c r="F317" s="8"/>
      <c r="G317" s="9">
        <f t="shared" ca="1" si="25"/>
        <v>12868000</v>
      </c>
      <c r="H317" s="9">
        <f t="shared" ca="1" si="26"/>
        <v>2959640</v>
      </c>
      <c r="I317" s="9">
        <f t="shared" ca="1" si="27"/>
        <v>900760.00000000012</v>
      </c>
      <c r="J317" s="22">
        <f ca="1">IF(Salary[[#This Row],[پایه حقوق]]&lt;=5600000,0,(Salary[[#This Row],[پایه حقوق]]-5600000)*0.1)</f>
        <v>726800</v>
      </c>
      <c r="K317" s="16">
        <f t="shared" ca="1" si="28"/>
        <v>11240440</v>
      </c>
    </row>
    <row r="318" spans="1:11">
      <c r="A318" s="1">
        <v>9988618</v>
      </c>
      <c r="B318" s="7">
        <f t="shared" ca="1" si="24"/>
        <v>37</v>
      </c>
      <c r="C318" s="7">
        <f>MATCH(Salary[[#This Row],[ماه]],Calc!$A$16:$A$27,0)</f>
        <v>6</v>
      </c>
      <c r="D318" s="8" t="s">
        <v>91</v>
      </c>
      <c r="E318" s="9">
        <f t="shared" ca="1" si="29"/>
        <v>14945000</v>
      </c>
      <c r="F318" s="8"/>
      <c r="G318" s="9">
        <f t="shared" ca="1" si="25"/>
        <v>14945000</v>
      </c>
      <c r="H318" s="9">
        <f t="shared" ca="1" si="26"/>
        <v>3437350</v>
      </c>
      <c r="I318" s="9">
        <f t="shared" ca="1" si="27"/>
        <v>1046150.0000000001</v>
      </c>
      <c r="J318" s="22">
        <f ca="1">IF(Salary[[#This Row],[پایه حقوق]]&lt;=5600000,0,(Salary[[#This Row],[پایه حقوق]]-5600000)*0.1)</f>
        <v>934500</v>
      </c>
      <c r="K318" s="16">
        <f t="shared" ca="1" si="28"/>
        <v>12964350</v>
      </c>
    </row>
    <row r="319" spans="1:11">
      <c r="A319" s="1">
        <v>9988657</v>
      </c>
      <c r="B319" s="7">
        <f t="shared" ca="1" si="24"/>
        <v>45</v>
      </c>
      <c r="C319" s="7">
        <f>MATCH(Salary[[#This Row],[ماه]],Calc!$A$16:$A$27,0)</f>
        <v>6</v>
      </c>
      <c r="D319" s="8" t="s">
        <v>91</v>
      </c>
      <c r="E319" s="9">
        <f t="shared" ca="1" si="29"/>
        <v>14449000</v>
      </c>
      <c r="F319" s="9"/>
      <c r="G319" s="9">
        <f t="shared" ca="1" si="25"/>
        <v>14449000</v>
      </c>
      <c r="H319" s="9">
        <f t="shared" ca="1" si="26"/>
        <v>3323270</v>
      </c>
      <c r="I319" s="9">
        <f t="shared" ca="1" si="27"/>
        <v>1011430.0000000001</v>
      </c>
      <c r="J319" s="22">
        <f ca="1">IF(Salary[[#This Row],[پایه حقوق]]&lt;=5600000,0,(Salary[[#This Row],[پایه حقوق]]-5600000)*0.1)</f>
        <v>884900</v>
      </c>
      <c r="K319" s="16">
        <f t="shared" ca="1" si="28"/>
        <v>12552670</v>
      </c>
    </row>
    <row r="320" spans="1:11">
      <c r="A320" s="1">
        <v>9988677</v>
      </c>
      <c r="B320" s="7">
        <f t="shared" ca="1" si="24"/>
        <v>33</v>
      </c>
      <c r="C320" s="7">
        <f>MATCH(Salary[[#This Row],[ماه]],Calc!$A$16:$A$27,0)</f>
        <v>6</v>
      </c>
      <c r="D320" s="8" t="s">
        <v>91</v>
      </c>
      <c r="E320" s="9">
        <f t="shared" ca="1" si="29"/>
        <v>10196000</v>
      </c>
      <c r="F320" s="9"/>
      <c r="G320" s="9">
        <f t="shared" ca="1" si="25"/>
        <v>10196000</v>
      </c>
      <c r="H320" s="9">
        <f t="shared" ca="1" si="26"/>
        <v>2345080</v>
      </c>
      <c r="I320" s="9">
        <f t="shared" ca="1" si="27"/>
        <v>713720.00000000012</v>
      </c>
      <c r="J320" s="22">
        <f ca="1">IF(Salary[[#This Row],[پایه حقوق]]&lt;=5600000,0,(Salary[[#This Row],[پایه حقوق]]-5600000)*0.1)</f>
        <v>459600</v>
      </c>
      <c r="K320" s="16">
        <f t="shared" ca="1" si="28"/>
        <v>9022680</v>
      </c>
    </row>
    <row r="321" spans="1:11">
      <c r="A321" s="1">
        <v>9988725</v>
      </c>
      <c r="B321" s="7">
        <f t="shared" ca="1" si="24"/>
        <v>46</v>
      </c>
      <c r="C321" s="7">
        <f>MATCH(Salary[[#This Row],[ماه]],Calc!$A$16:$A$27,0)</f>
        <v>6</v>
      </c>
      <c r="D321" s="8" t="s">
        <v>91</v>
      </c>
      <c r="E321" s="9">
        <f t="shared" ca="1" si="29"/>
        <v>14342000</v>
      </c>
      <c r="F321" s="9"/>
      <c r="G321" s="9">
        <f t="shared" ca="1" si="25"/>
        <v>14342000</v>
      </c>
      <c r="H321" s="9">
        <f t="shared" ca="1" si="26"/>
        <v>3298660</v>
      </c>
      <c r="I321" s="9">
        <f t="shared" ca="1" si="27"/>
        <v>1003940.0000000001</v>
      </c>
      <c r="J321" s="22">
        <f ca="1">IF(Salary[[#This Row],[پایه حقوق]]&lt;=5600000,0,(Salary[[#This Row],[پایه حقوق]]-5600000)*0.1)</f>
        <v>874200</v>
      </c>
      <c r="K321" s="16">
        <f t="shared" ca="1" si="28"/>
        <v>12463860</v>
      </c>
    </row>
    <row r="322" spans="1:11">
      <c r="A322" s="1">
        <v>9988773</v>
      </c>
      <c r="B322" s="7">
        <f t="shared" ref="B322:B385" ca="1" si="30">RANDBETWEEN(30,100)</f>
        <v>86</v>
      </c>
      <c r="C322" s="7">
        <f>MATCH(Salary[[#This Row],[ماه]],Calc!$A$16:$A$27,0)</f>
        <v>6</v>
      </c>
      <c r="D322" s="8" t="s">
        <v>91</v>
      </c>
      <c r="E322" s="9">
        <f t="shared" ca="1" si="29"/>
        <v>9662000</v>
      </c>
      <c r="F322" s="9"/>
      <c r="G322" s="9">
        <f t="shared" ref="G322:G385" ca="1" si="31">E322+F322</f>
        <v>9662000</v>
      </c>
      <c r="H322" s="9">
        <f t="shared" ref="H322:H385" ca="1" si="32">0.23*E322</f>
        <v>2222260</v>
      </c>
      <c r="I322" s="9">
        <f t="shared" ref="I322:I385" ca="1" si="33">0.07*E322</f>
        <v>676340.00000000012</v>
      </c>
      <c r="J322" s="22">
        <f ca="1">IF(Salary[[#This Row],[پایه حقوق]]&lt;=5600000,0,(Salary[[#This Row],[پایه حقوق]]-5600000)*0.1)</f>
        <v>406200</v>
      </c>
      <c r="K322" s="16">
        <f t="shared" ref="K322:K385" ca="1" si="34">G322-I322-J322</f>
        <v>8579460</v>
      </c>
    </row>
    <row r="323" spans="1:11">
      <c r="A323" s="1">
        <v>9988821</v>
      </c>
      <c r="B323" s="7">
        <f t="shared" ca="1" si="30"/>
        <v>84</v>
      </c>
      <c r="C323" s="7">
        <f>MATCH(Salary[[#This Row],[ماه]],Calc!$A$16:$A$27,0)</f>
        <v>6</v>
      </c>
      <c r="D323" s="8" t="s">
        <v>91</v>
      </c>
      <c r="E323" s="9">
        <f t="shared" ref="E323:E386" ca="1" si="35">RANDBETWEEN(3000,15000)*1000</f>
        <v>11235000</v>
      </c>
      <c r="F323" s="9"/>
      <c r="G323" s="9">
        <f t="shared" ca="1" si="31"/>
        <v>11235000</v>
      </c>
      <c r="H323" s="9">
        <f t="shared" ca="1" si="32"/>
        <v>2584050</v>
      </c>
      <c r="I323" s="9">
        <f t="shared" ca="1" si="33"/>
        <v>786450.00000000012</v>
      </c>
      <c r="J323" s="22">
        <f ca="1">IF(Salary[[#This Row],[پایه حقوق]]&lt;=5600000,0,(Salary[[#This Row],[پایه حقوق]]-5600000)*0.1)</f>
        <v>563500</v>
      </c>
      <c r="K323" s="16">
        <f t="shared" ca="1" si="34"/>
        <v>9885050</v>
      </c>
    </row>
    <row r="324" spans="1:11">
      <c r="A324" s="1">
        <v>9988869</v>
      </c>
      <c r="B324" s="7">
        <f t="shared" ca="1" si="30"/>
        <v>69</v>
      </c>
      <c r="C324" s="7">
        <f>MATCH(Salary[[#This Row],[ماه]],Calc!$A$16:$A$27,0)</f>
        <v>6</v>
      </c>
      <c r="D324" s="8" t="s">
        <v>91</v>
      </c>
      <c r="E324" s="9">
        <f t="shared" ca="1" si="35"/>
        <v>6505000</v>
      </c>
      <c r="F324" s="9"/>
      <c r="G324" s="9">
        <f t="shared" ca="1" si="31"/>
        <v>6505000</v>
      </c>
      <c r="H324" s="9">
        <f t="shared" ca="1" si="32"/>
        <v>1496150</v>
      </c>
      <c r="I324" s="9">
        <f t="shared" ca="1" si="33"/>
        <v>455350.00000000006</v>
      </c>
      <c r="J324" s="22">
        <f ca="1">IF(Salary[[#This Row],[پایه حقوق]]&lt;=5600000,0,(Salary[[#This Row],[پایه حقوق]]-5600000)*0.1)</f>
        <v>90500</v>
      </c>
      <c r="K324" s="16">
        <f t="shared" ca="1" si="34"/>
        <v>5959150</v>
      </c>
    </row>
    <row r="325" spans="1:11">
      <c r="A325" s="1">
        <v>9988917</v>
      </c>
      <c r="B325" s="7">
        <f t="shared" ca="1" si="30"/>
        <v>100</v>
      </c>
      <c r="C325" s="7">
        <f>MATCH(Salary[[#This Row],[ماه]],Calc!$A$16:$A$27,0)</f>
        <v>6</v>
      </c>
      <c r="D325" s="8" t="s">
        <v>91</v>
      </c>
      <c r="E325" s="9">
        <f t="shared" ca="1" si="35"/>
        <v>10004000</v>
      </c>
      <c r="F325" s="9"/>
      <c r="G325" s="9">
        <f t="shared" ca="1" si="31"/>
        <v>10004000</v>
      </c>
      <c r="H325" s="9">
        <f t="shared" ca="1" si="32"/>
        <v>2300920</v>
      </c>
      <c r="I325" s="9">
        <f t="shared" ca="1" si="33"/>
        <v>700280.00000000012</v>
      </c>
      <c r="J325" s="22">
        <f ca="1">IF(Salary[[#This Row],[پایه حقوق]]&lt;=5600000,0,(Salary[[#This Row],[پایه حقوق]]-5600000)*0.1)</f>
        <v>440400</v>
      </c>
      <c r="K325" s="16">
        <f t="shared" ca="1" si="34"/>
        <v>8863320</v>
      </c>
    </row>
    <row r="326" spans="1:11">
      <c r="A326" s="1">
        <v>9988965</v>
      </c>
      <c r="B326" s="7">
        <f t="shared" ca="1" si="30"/>
        <v>54</v>
      </c>
      <c r="C326" s="7">
        <f>MATCH(Salary[[#This Row],[ماه]],Calc!$A$16:$A$27,0)</f>
        <v>6</v>
      </c>
      <c r="D326" s="8" t="s">
        <v>91</v>
      </c>
      <c r="E326" s="9">
        <f t="shared" ca="1" si="35"/>
        <v>11616000</v>
      </c>
      <c r="F326" s="9"/>
      <c r="G326" s="9">
        <f t="shared" ca="1" si="31"/>
        <v>11616000</v>
      </c>
      <c r="H326" s="9">
        <f t="shared" ca="1" si="32"/>
        <v>2671680</v>
      </c>
      <c r="I326" s="9">
        <f t="shared" ca="1" si="33"/>
        <v>813120.00000000012</v>
      </c>
      <c r="J326" s="22">
        <f ca="1">IF(Salary[[#This Row],[پایه حقوق]]&lt;=5600000,0,(Salary[[#This Row],[پایه حقوق]]-5600000)*0.1)</f>
        <v>601600</v>
      </c>
      <c r="K326" s="16">
        <f t="shared" ca="1" si="34"/>
        <v>10201280</v>
      </c>
    </row>
    <row r="327" spans="1:11">
      <c r="A327" s="1">
        <v>9989013</v>
      </c>
      <c r="B327" s="7">
        <f t="shared" ca="1" si="30"/>
        <v>60</v>
      </c>
      <c r="C327" s="7">
        <f>MATCH(Salary[[#This Row],[ماه]],Calc!$A$16:$A$27,0)</f>
        <v>6</v>
      </c>
      <c r="D327" s="8" t="s">
        <v>91</v>
      </c>
      <c r="E327" s="9">
        <f t="shared" ca="1" si="35"/>
        <v>13003000</v>
      </c>
      <c r="F327" s="9"/>
      <c r="G327" s="9">
        <f t="shared" ca="1" si="31"/>
        <v>13003000</v>
      </c>
      <c r="H327" s="9">
        <f t="shared" ca="1" si="32"/>
        <v>2990690</v>
      </c>
      <c r="I327" s="9">
        <f t="shared" ca="1" si="33"/>
        <v>910210.00000000012</v>
      </c>
      <c r="J327" s="22">
        <f ca="1">IF(Salary[[#This Row],[پایه حقوق]]&lt;=5600000,0,(Salary[[#This Row],[پایه حقوق]]-5600000)*0.1)</f>
        <v>740300</v>
      </c>
      <c r="K327" s="16">
        <f t="shared" ca="1" si="34"/>
        <v>11352490</v>
      </c>
    </row>
    <row r="328" spans="1:11">
      <c r="A328" s="1">
        <v>9989061</v>
      </c>
      <c r="B328" s="7">
        <f t="shared" ca="1" si="30"/>
        <v>57</v>
      </c>
      <c r="C328" s="7">
        <f>MATCH(Salary[[#This Row],[ماه]],Calc!$A$16:$A$27,0)</f>
        <v>6</v>
      </c>
      <c r="D328" s="8" t="s">
        <v>91</v>
      </c>
      <c r="E328" s="9">
        <f t="shared" ca="1" si="35"/>
        <v>6441000</v>
      </c>
      <c r="F328" s="9"/>
      <c r="G328" s="9">
        <f t="shared" ca="1" si="31"/>
        <v>6441000</v>
      </c>
      <c r="H328" s="9">
        <f t="shared" ca="1" si="32"/>
        <v>1481430</v>
      </c>
      <c r="I328" s="9">
        <f t="shared" ca="1" si="33"/>
        <v>450870.00000000006</v>
      </c>
      <c r="J328" s="22">
        <f ca="1">IF(Salary[[#This Row],[پایه حقوق]]&lt;=5600000,0,(Salary[[#This Row],[پایه حقوق]]-5600000)*0.1)</f>
        <v>84100</v>
      </c>
      <c r="K328" s="16">
        <f t="shared" ca="1" si="34"/>
        <v>5906030</v>
      </c>
    </row>
    <row r="329" spans="1:11">
      <c r="A329" s="1">
        <v>9989109</v>
      </c>
      <c r="B329" s="7">
        <f t="shared" ca="1" si="30"/>
        <v>96</v>
      </c>
      <c r="C329" s="7">
        <f>MATCH(Salary[[#This Row],[ماه]],Calc!$A$16:$A$27,0)</f>
        <v>6</v>
      </c>
      <c r="D329" s="8" t="s">
        <v>91</v>
      </c>
      <c r="E329" s="9">
        <f t="shared" ca="1" si="35"/>
        <v>8462000</v>
      </c>
      <c r="F329" s="9"/>
      <c r="G329" s="9">
        <f t="shared" ca="1" si="31"/>
        <v>8462000</v>
      </c>
      <c r="H329" s="9">
        <f t="shared" ca="1" si="32"/>
        <v>1946260</v>
      </c>
      <c r="I329" s="9">
        <f t="shared" ca="1" si="33"/>
        <v>592340</v>
      </c>
      <c r="J329" s="22">
        <f ca="1">IF(Salary[[#This Row],[پایه حقوق]]&lt;=5600000,0,(Salary[[#This Row],[پایه حقوق]]-5600000)*0.1)</f>
        <v>286200</v>
      </c>
      <c r="K329" s="16">
        <f t="shared" ca="1" si="34"/>
        <v>7583460</v>
      </c>
    </row>
    <row r="330" spans="1:11">
      <c r="A330" s="1">
        <v>9989157</v>
      </c>
      <c r="B330" s="7">
        <f t="shared" ca="1" si="30"/>
        <v>30</v>
      </c>
      <c r="C330" s="7">
        <f>MATCH(Salary[[#This Row],[ماه]],Calc!$A$16:$A$27,0)</f>
        <v>6</v>
      </c>
      <c r="D330" s="8" t="s">
        <v>91</v>
      </c>
      <c r="E330" s="9">
        <f t="shared" ca="1" si="35"/>
        <v>10557000</v>
      </c>
      <c r="F330" s="9"/>
      <c r="G330" s="9">
        <f t="shared" ca="1" si="31"/>
        <v>10557000</v>
      </c>
      <c r="H330" s="9">
        <f t="shared" ca="1" si="32"/>
        <v>2428110</v>
      </c>
      <c r="I330" s="9">
        <f t="shared" ca="1" si="33"/>
        <v>738990.00000000012</v>
      </c>
      <c r="J330" s="22">
        <f ca="1">IF(Salary[[#This Row],[پایه حقوق]]&lt;=5600000,0,(Salary[[#This Row],[پایه حقوق]]-5600000)*0.1)</f>
        <v>495700</v>
      </c>
      <c r="K330" s="16">
        <f t="shared" ca="1" si="34"/>
        <v>9322310</v>
      </c>
    </row>
    <row r="331" spans="1:11">
      <c r="A331" s="1">
        <v>9989205</v>
      </c>
      <c r="B331" s="7">
        <f t="shared" ca="1" si="30"/>
        <v>77</v>
      </c>
      <c r="C331" s="7">
        <f>MATCH(Salary[[#This Row],[ماه]],Calc!$A$16:$A$27,0)</f>
        <v>6</v>
      </c>
      <c r="D331" s="8" t="s">
        <v>91</v>
      </c>
      <c r="E331" s="9">
        <f t="shared" ca="1" si="35"/>
        <v>13060000</v>
      </c>
      <c r="F331" s="9"/>
      <c r="G331" s="9">
        <f t="shared" ca="1" si="31"/>
        <v>13060000</v>
      </c>
      <c r="H331" s="9">
        <f t="shared" ca="1" si="32"/>
        <v>3003800</v>
      </c>
      <c r="I331" s="9">
        <f t="shared" ca="1" si="33"/>
        <v>914200.00000000012</v>
      </c>
      <c r="J331" s="22">
        <f ca="1">IF(Salary[[#This Row],[پایه حقوق]]&lt;=5600000,0,(Salary[[#This Row],[پایه حقوق]]-5600000)*0.1)</f>
        <v>746000</v>
      </c>
      <c r="K331" s="16">
        <f t="shared" ca="1" si="34"/>
        <v>11399800</v>
      </c>
    </row>
    <row r="332" spans="1:11">
      <c r="A332" s="1">
        <v>9989253</v>
      </c>
      <c r="B332" s="7">
        <f t="shared" ca="1" si="30"/>
        <v>37</v>
      </c>
      <c r="C332" s="7">
        <f>MATCH(Salary[[#This Row],[ماه]],Calc!$A$16:$A$27,0)</f>
        <v>6</v>
      </c>
      <c r="D332" s="8" t="s">
        <v>91</v>
      </c>
      <c r="E332" s="9">
        <f t="shared" ca="1" si="35"/>
        <v>11621000</v>
      </c>
      <c r="F332" s="9"/>
      <c r="G332" s="9">
        <f t="shared" ca="1" si="31"/>
        <v>11621000</v>
      </c>
      <c r="H332" s="9">
        <f t="shared" ca="1" si="32"/>
        <v>2672830</v>
      </c>
      <c r="I332" s="9">
        <f t="shared" ca="1" si="33"/>
        <v>813470.00000000012</v>
      </c>
      <c r="J332" s="22">
        <f ca="1">IF(Salary[[#This Row],[پایه حقوق]]&lt;=5600000,0,(Salary[[#This Row],[پایه حقوق]]-5600000)*0.1)</f>
        <v>602100</v>
      </c>
      <c r="K332" s="16">
        <f t="shared" ca="1" si="34"/>
        <v>10205430</v>
      </c>
    </row>
    <row r="333" spans="1:11">
      <c r="A333" s="1">
        <v>9989301</v>
      </c>
      <c r="B333" s="7">
        <f t="shared" ca="1" si="30"/>
        <v>67</v>
      </c>
      <c r="C333" s="7">
        <f>MATCH(Salary[[#This Row],[ماه]],Calc!$A$16:$A$27,0)</f>
        <v>6</v>
      </c>
      <c r="D333" s="8" t="s">
        <v>91</v>
      </c>
      <c r="E333" s="9">
        <f t="shared" ca="1" si="35"/>
        <v>7481000</v>
      </c>
      <c r="F333" s="9"/>
      <c r="G333" s="9">
        <f t="shared" ca="1" si="31"/>
        <v>7481000</v>
      </c>
      <c r="H333" s="9">
        <f t="shared" ca="1" si="32"/>
        <v>1720630</v>
      </c>
      <c r="I333" s="9">
        <f t="shared" ca="1" si="33"/>
        <v>523670.00000000006</v>
      </c>
      <c r="J333" s="22">
        <f ca="1">IF(Salary[[#This Row],[پایه حقوق]]&lt;=5600000,0,(Salary[[#This Row],[پایه حقوق]]-5600000)*0.1)</f>
        <v>188100</v>
      </c>
      <c r="K333" s="16">
        <f t="shared" ca="1" si="34"/>
        <v>6769230</v>
      </c>
    </row>
    <row r="334" spans="1:11">
      <c r="A334" s="1">
        <v>9989349</v>
      </c>
      <c r="B334" s="7">
        <f t="shared" ca="1" si="30"/>
        <v>80</v>
      </c>
      <c r="C334" s="7">
        <f>MATCH(Salary[[#This Row],[ماه]],Calc!$A$16:$A$27,0)</f>
        <v>6</v>
      </c>
      <c r="D334" s="8" t="s">
        <v>91</v>
      </c>
      <c r="E334" s="9">
        <f t="shared" ca="1" si="35"/>
        <v>10557000</v>
      </c>
      <c r="F334" s="9"/>
      <c r="G334" s="9">
        <f t="shared" ca="1" si="31"/>
        <v>10557000</v>
      </c>
      <c r="H334" s="9">
        <f t="shared" ca="1" si="32"/>
        <v>2428110</v>
      </c>
      <c r="I334" s="9">
        <f t="shared" ca="1" si="33"/>
        <v>738990.00000000012</v>
      </c>
      <c r="J334" s="22">
        <f ca="1">IF(Salary[[#This Row],[پایه حقوق]]&lt;=5600000,0,(Salary[[#This Row],[پایه حقوق]]-5600000)*0.1)</f>
        <v>495700</v>
      </c>
      <c r="K334" s="16">
        <f t="shared" ca="1" si="34"/>
        <v>9322310</v>
      </c>
    </row>
    <row r="335" spans="1:11">
      <c r="A335" s="1">
        <v>9989397</v>
      </c>
      <c r="B335" s="7">
        <f t="shared" ca="1" si="30"/>
        <v>44</v>
      </c>
      <c r="C335" s="7">
        <f>MATCH(Salary[[#This Row],[ماه]],Calc!$A$16:$A$27,0)</f>
        <v>6</v>
      </c>
      <c r="D335" s="8" t="s">
        <v>91</v>
      </c>
      <c r="E335" s="9">
        <f t="shared" ca="1" si="35"/>
        <v>11342000</v>
      </c>
      <c r="F335" s="9"/>
      <c r="G335" s="9">
        <f t="shared" ca="1" si="31"/>
        <v>11342000</v>
      </c>
      <c r="H335" s="9">
        <f t="shared" ca="1" si="32"/>
        <v>2608660</v>
      </c>
      <c r="I335" s="9">
        <f t="shared" ca="1" si="33"/>
        <v>793940.00000000012</v>
      </c>
      <c r="J335" s="22">
        <f ca="1">IF(Salary[[#This Row],[پایه حقوق]]&lt;=5600000,0,(Salary[[#This Row],[پایه حقوق]]-5600000)*0.1)</f>
        <v>574200</v>
      </c>
      <c r="K335" s="16">
        <f t="shared" ca="1" si="34"/>
        <v>9973860</v>
      </c>
    </row>
    <row r="336" spans="1:11">
      <c r="A336" s="1">
        <v>9989445</v>
      </c>
      <c r="B336" s="7">
        <f t="shared" ca="1" si="30"/>
        <v>81</v>
      </c>
      <c r="C336" s="7">
        <f>MATCH(Salary[[#This Row],[ماه]],Calc!$A$16:$A$27,0)</f>
        <v>6</v>
      </c>
      <c r="D336" s="8" t="s">
        <v>91</v>
      </c>
      <c r="E336" s="9">
        <f t="shared" ca="1" si="35"/>
        <v>12107000</v>
      </c>
      <c r="F336" s="9"/>
      <c r="G336" s="9">
        <f t="shared" ca="1" si="31"/>
        <v>12107000</v>
      </c>
      <c r="H336" s="9">
        <f t="shared" ca="1" si="32"/>
        <v>2784610</v>
      </c>
      <c r="I336" s="9">
        <f t="shared" ca="1" si="33"/>
        <v>847490.00000000012</v>
      </c>
      <c r="J336" s="22">
        <f ca="1">IF(Salary[[#This Row],[پایه حقوق]]&lt;=5600000,0,(Salary[[#This Row],[پایه حقوق]]-5600000)*0.1)</f>
        <v>650700</v>
      </c>
      <c r="K336" s="16">
        <f t="shared" ca="1" si="34"/>
        <v>10608810</v>
      </c>
    </row>
    <row r="337" spans="1:11">
      <c r="A337" s="1">
        <v>9989493</v>
      </c>
      <c r="B337" s="7">
        <f t="shared" ca="1" si="30"/>
        <v>55</v>
      </c>
      <c r="C337" s="7">
        <f>MATCH(Salary[[#This Row],[ماه]],Calc!$A$16:$A$27,0)</f>
        <v>6</v>
      </c>
      <c r="D337" s="8" t="s">
        <v>91</v>
      </c>
      <c r="E337" s="9">
        <f t="shared" ca="1" si="35"/>
        <v>7496000</v>
      </c>
      <c r="F337" s="9"/>
      <c r="G337" s="9">
        <f t="shared" ca="1" si="31"/>
        <v>7496000</v>
      </c>
      <c r="H337" s="9">
        <f t="shared" ca="1" si="32"/>
        <v>1724080</v>
      </c>
      <c r="I337" s="9">
        <f t="shared" ca="1" si="33"/>
        <v>524720</v>
      </c>
      <c r="J337" s="22">
        <f ca="1">IF(Salary[[#This Row],[پایه حقوق]]&lt;=5600000,0,(Salary[[#This Row],[پایه حقوق]]-5600000)*0.1)</f>
        <v>189600</v>
      </c>
      <c r="K337" s="16">
        <f t="shared" ca="1" si="34"/>
        <v>6781680</v>
      </c>
    </row>
    <row r="338" spans="1:11">
      <c r="A338" s="1">
        <v>9989541</v>
      </c>
      <c r="B338" s="7">
        <f t="shared" ca="1" si="30"/>
        <v>75</v>
      </c>
      <c r="C338" s="7">
        <f>MATCH(Salary[[#This Row],[ماه]],Calc!$A$16:$A$27,0)</f>
        <v>6</v>
      </c>
      <c r="D338" s="8" t="s">
        <v>91</v>
      </c>
      <c r="E338" s="9">
        <f t="shared" ca="1" si="35"/>
        <v>3901000</v>
      </c>
      <c r="F338" s="9"/>
      <c r="G338" s="9">
        <f t="shared" ca="1" si="31"/>
        <v>3901000</v>
      </c>
      <c r="H338" s="9">
        <f t="shared" ca="1" si="32"/>
        <v>897230</v>
      </c>
      <c r="I338" s="9">
        <f t="shared" ca="1" si="33"/>
        <v>273070</v>
      </c>
      <c r="J338" s="22">
        <f ca="1">IF(Salary[[#This Row],[پایه حقوق]]&lt;=5600000,0,(Salary[[#This Row],[پایه حقوق]]-5600000)*0.1)</f>
        <v>0</v>
      </c>
      <c r="K338" s="16">
        <f t="shared" ca="1" si="34"/>
        <v>3627930</v>
      </c>
    </row>
    <row r="339" spans="1:11">
      <c r="A339" s="1">
        <v>9989589</v>
      </c>
      <c r="B339" s="7">
        <f t="shared" ca="1" si="30"/>
        <v>81</v>
      </c>
      <c r="C339" s="7">
        <f>MATCH(Salary[[#This Row],[ماه]],Calc!$A$16:$A$27,0)</f>
        <v>6</v>
      </c>
      <c r="D339" s="8" t="s">
        <v>91</v>
      </c>
      <c r="E339" s="9">
        <f t="shared" ca="1" si="35"/>
        <v>3367000</v>
      </c>
      <c r="F339" s="9"/>
      <c r="G339" s="9">
        <f t="shared" ca="1" si="31"/>
        <v>3367000</v>
      </c>
      <c r="H339" s="9">
        <f t="shared" ca="1" si="32"/>
        <v>774410</v>
      </c>
      <c r="I339" s="9">
        <f t="shared" ca="1" si="33"/>
        <v>235690.00000000003</v>
      </c>
      <c r="J339" s="22">
        <f ca="1">IF(Salary[[#This Row],[پایه حقوق]]&lt;=5600000,0,(Salary[[#This Row],[پایه حقوق]]-5600000)*0.1)</f>
        <v>0</v>
      </c>
      <c r="K339" s="16">
        <f t="shared" ca="1" si="34"/>
        <v>3131310</v>
      </c>
    </row>
    <row r="340" spans="1:11">
      <c r="A340" s="1">
        <v>9989637</v>
      </c>
      <c r="B340" s="7">
        <f t="shared" ca="1" si="30"/>
        <v>88</v>
      </c>
      <c r="C340" s="7">
        <f>MATCH(Salary[[#This Row],[ماه]],Calc!$A$16:$A$27,0)</f>
        <v>6</v>
      </c>
      <c r="D340" s="8" t="s">
        <v>91</v>
      </c>
      <c r="E340" s="9">
        <f t="shared" ca="1" si="35"/>
        <v>12996000</v>
      </c>
      <c r="F340" s="9"/>
      <c r="G340" s="9">
        <f t="shared" ca="1" si="31"/>
        <v>12996000</v>
      </c>
      <c r="H340" s="9">
        <f t="shared" ca="1" si="32"/>
        <v>2989080</v>
      </c>
      <c r="I340" s="9">
        <f t="shared" ca="1" si="33"/>
        <v>909720.00000000012</v>
      </c>
      <c r="J340" s="22">
        <f ca="1">IF(Salary[[#This Row],[پایه حقوق]]&lt;=5600000,0,(Salary[[#This Row],[پایه حقوق]]-5600000)*0.1)</f>
        <v>739600</v>
      </c>
      <c r="K340" s="16">
        <f t="shared" ca="1" si="34"/>
        <v>11346680</v>
      </c>
    </row>
    <row r="341" spans="1:11">
      <c r="A341" s="1">
        <v>9989685</v>
      </c>
      <c r="B341" s="7">
        <f t="shared" ca="1" si="30"/>
        <v>31</v>
      </c>
      <c r="C341" s="7">
        <f>MATCH(Salary[[#This Row],[ماه]],Calc!$A$16:$A$27,0)</f>
        <v>6</v>
      </c>
      <c r="D341" s="8" t="s">
        <v>91</v>
      </c>
      <c r="E341" s="9">
        <f t="shared" ca="1" si="35"/>
        <v>8672000</v>
      </c>
      <c r="F341" s="9"/>
      <c r="G341" s="9">
        <f t="shared" ca="1" si="31"/>
        <v>8672000</v>
      </c>
      <c r="H341" s="9">
        <f t="shared" ca="1" si="32"/>
        <v>1994560</v>
      </c>
      <c r="I341" s="9">
        <f t="shared" ca="1" si="33"/>
        <v>607040</v>
      </c>
      <c r="J341" s="22">
        <f ca="1">IF(Salary[[#This Row],[پایه حقوق]]&lt;=5600000,0,(Salary[[#This Row],[پایه حقوق]]-5600000)*0.1)</f>
        <v>307200</v>
      </c>
      <c r="K341" s="16">
        <f t="shared" ca="1" si="34"/>
        <v>7757760</v>
      </c>
    </row>
    <row r="342" spans="1:11">
      <c r="A342" s="1">
        <v>9989733</v>
      </c>
      <c r="B342" s="7">
        <f t="shared" ca="1" si="30"/>
        <v>67</v>
      </c>
      <c r="C342" s="7">
        <f>MATCH(Salary[[#This Row],[ماه]],Calc!$A$16:$A$27,0)</f>
        <v>6</v>
      </c>
      <c r="D342" s="8" t="s">
        <v>91</v>
      </c>
      <c r="E342" s="9">
        <f t="shared" ca="1" si="35"/>
        <v>7794000</v>
      </c>
      <c r="F342" s="9"/>
      <c r="G342" s="9">
        <f t="shared" ca="1" si="31"/>
        <v>7794000</v>
      </c>
      <c r="H342" s="9">
        <f t="shared" ca="1" si="32"/>
        <v>1792620</v>
      </c>
      <c r="I342" s="9">
        <f t="shared" ca="1" si="33"/>
        <v>545580</v>
      </c>
      <c r="J342" s="22">
        <f ca="1">IF(Salary[[#This Row],[پایه حقوق]]&lt;=5600000,0,(Salary[[#This Row],[پایه حقوق]]-5600000)*0.1)</f>
        <v>219400</v>
      </c>
      <c r="K342" s="16">
        <f t="shared" ca="1" si="34"/>
        <v>7029020</v>
      </c>
    </row>
    <row r="343" spans="1:11">
      <c r="A343" s="1">
        <v>9989781</v>
      </c>
      <c r="B343" s="7">
        <f t="shared" ca="1" si="30"/>
        <v>74</v>
      </c>
      <c r="C343" s="7">
        <f>MATCH(Salary[[#This Row],[ماه]],Calc!$A$16:$A$27,0)</f>
        <v>6</v>
      </c>
      <c r="D343" s="8" t="s">
        <v>91</v>
      </c>
      <c r="E343" s="9">
        <f t="shared" ca="1" si="35"/>
        <v>14697000</v>
      </c>
      <c r="F343" s="9"/>
      <c r="G343" s="9">
        <f t="shared" ca="1" si="31"/>
        <v>14697000</v>
      </c>
      <c r="H343" s="9">
        <f t="shared" ca="1" si="32"/>
        <v>3380310</v>
      </c>
      <c r="I343" s="9">
        <f t="shared" ca="1" si="33"/>
        <v>1028790.0000000001</v>
      </c>
      <c r="J343" s="22">
        <f ca="1">IF(Salary[[#This Row],[پایه حقوق]]&lt;=5600000,0,(Salary[[#This Row],[پایه حقوق]]-5600000)*0.1)</f>
        <v>909700</v>
      </c>
      <c r="K343" s="16">
        <f t="shared" ca="1" si="34"/>
        <v>12758510</v>
      </c>
    </row>
    <row r="344" spans="1:11">
      <c r="A344" s="1">
        <v>9989829</v>
      </c>
      <c r="B344" s="7">
        <f t="shared" ca="1" si="30"/>
        <v>49</v>
      </c>
      <c r="C344" s="7">
        <f>MATCH(Salary[[#This Row],[ماه]],Calc!$A$16:$A$27,0)</f>
        <v>6</v>
      </c>
      <c r="D344" s="8" t="s">
        <v>91</v>
      </c>
      <c r="E344" s="9">
        <f t="shared" ca="1" si="35"/>
        <v>3523000</v>
      </c>
      <c r="F344" s="9"/>
      <c r="G344" s="9">
        <f t="shared" ca="1" si="31"/>
        <v>3523000</v>
      </c>
      <c r="H344" s="9">
        <f t="shared" ca="1" si="32"/>
        <v>810290</v>
      </c>
      <c r="I344" s="9">
        <f t="shared" ca="1" si="33"/>
        <v>246610.00000000003</v>
      </c>
      <c r="J344" s="22">
        <f ca="1">IF(Salary[[#This Row],[پایه حقوق]]&lt;=5600000,0,(Salary[[#This Row],[پایه حقوق]]-5600000)*0.1)</f>
        <v>0</v>
      </c>
      <c r="K344" s="16">
        <f t="shared" ca="1" si="34"/>
        <v>3276390</v>
      </c>
    </row>
    <row r="345" spans="1:11">
      <c r="A345" s="1">
        <v>9989877</v>
      </c>
      <c r="B345" s="7">
        <f t="shared" ca="1" si="30"/>
        <v>37</v>
      </c>
      <c r="C345" s="7">
        <f>MATCH(Salary[[#This Row],[ماه]],Calc!$A$16:$A$27,0)</f>
        <v>6</v>
      </c>
      <c r="D345" s="8" t="s">
        <v>91</v>
      </c>
      <c r="E345" s="9">
        <f t="shared" ca="1" si="35"/>
        <v>11424000</v>
      </c>
      <c r="F345" s="9"/>
      <c r="G345" s="9">
        <f t="shared" ca="1" si="31"/>
        <v>11424000</v>
      </c>
      <c r="H345" s="9">
        <f t="shared" ca="1" si="32"/>
        <v>2627520</v>
      </c>
      <c r="I345" s="9">
        <f t="shared" ca="1" si="33"/>
        <v>799680.00000000012</v>
      </c>
      <c r="J345" s="22">
        <f ca="1">IF(Salary[[#This Row],[پایه حقوق]]&lt;=5600000,0,(Salary[[#This Row],[پایه حقوق]]-5600000)*0.1)</f>
        <v>582400</v>
      </c>
      <c r="K345" s="16">
        <f t="shared" ca="1" si="34"/>
        <v>10041920</v>
      </c>
    </row>
    <row r="346" spans="1:11">
      <c r="A346" s="1">
        <v>9989925</v>
      </c>
      <c r="B346" s="7">
        <f t="shared" ca="1" si="30"/>
        <v>96</v>
      </c>
      <c r="C346" s="7">
        <f>MATCH(Salary[[#This Row],[ماه]],Calc!$A$16:$A$27,0)</f>
        <v>6</v>
      </c>
      <c r="D346" s="8" t="s">
        <v>91</v>
      </c>
      <c r="E346" s="9">
        <f t="shared" ca="1" si="35"/>
        <v>9363000</v>
      </c>
      <c r="F346" s="9"/>
      <c r="G346" s="9">
        <f t="shared" ca="1" si="31"/>
        <v>9363000</v>
      </c>
      <c r="H346" s="9">
        <f t="shared" ca="1" si="32"/>
        <v>2153490</v>
      </c>
      <c r="I346" s="9">
        <f t="shared" ca="1" si="33"/>
        <v>655410.00000000012</v>
      </c>
      <c r="J346" s="22">
        <f ca="1">IF(Salary[[#This Row],[پایه حقوق]]&lt;=5600000,0,(Salary[[#This Row],[پایه حقوق]]-5600000)*0.1)</f>
        <v>376300</v>
      </c>
      <c r="K346" s="16">
        <f t="shared" ca="1" si="34"/>
        <v>8331290</v>
      </c>
    </row>
    <row r="347" spans="1:11">
      <c r="A347" s="1">
        <v>9989973</v>
      </c>
      <c r="B347" s="7">
        <f t="shared" ca="1" si="30"/>
        <v>94</v>
      </c>
      <c r="C347" s="7">
        <f>MATCH(Salary[[#This Row],[ماه]],Calc!$A$16:$A$27,0)</f>
        <v>6</v>
      </c>
      <c r="D347" s="8" t="s">
        <v>91</v>
      </c>
      <c r="E347" s="9">
        <f t="shared" ca="1" si="35"/>
        <v>13395000</v>
      </c>
      <c r="F347" s="9"/>
      <c r="G347" s="9">
        <f t="shared" ca="1" si="31"/>
        <v>13395000</v>
      </c>
      <c r="H347" s="9">
        <f t="shared" ca="1" si="32"/>
        <v>3080850</v>
      </c>
      <c r="I347" s="9">
        <f t="shared" ca="1" si="33"/>
        <v>937650.00000000012</v>
      </c>
      <c r="J347" s="22">
        <f ca="1">IF(Salary[[#This Row],[پایه حقوق]]&lt;=5600000,0,(Salary[[#This Row],[پایه حقوق]]-5600000)*0.1)</f>
        <v>779500</v>
      </c>
      <c r="K347" s="16">
        <f t="shared" ca="1" si="34"/>
        <v>11677850</v>
      </c>
    </row>
    <row r="348" spans="1:11">
      <c r="A348" s="1">
        <v>9990021</v>
      </c>
      <c r="B348" s="7">
        <f t="shared" ca="1" si="30"/>
        <v>78</v>
      </c>
      <c r="C348" s="7">
        <f>MATCH(Salary[[#This Row],[ماه]],Calc!$A$16:$A$27,0)</f>
        <v>6</v>
      </c>
      <c r="D348" s="8" t="s">
        <v>91</v>
      </c>
      <c r="E348" s="9">
        <f t="shared" ca="1" si="35"/>
        <v>14101000</v>
      </c>
      <c r="F348" s="9"/>
      <c r="G348" s="9">
        <f t="shared" ca="1" si="31"/>
        <v>14101000</v>
      </c>
      <c r="H348" s="9">
        <f t="shared" ca="1" si="32"/>
        <v>3243230</v>
      </c>
      <c r="I348" s="9">
        <f t="shared" ca="1" si="33"/>
        <v>987070.00000000012</v>
      </c>
      <c r="J348" s="22">
        <f ca="1">IF(Salary[[#This Row],[پایه حقوق]]&lt;=5600000,0,(Salary[[#This Row],[پایه حقوق]]-5600000)*0.1)</f>
        <v>850100</v>
      </c>
      <c r="K348" s="16">
        <f t="shared" ca="1" si="34"/>
        <v>12263830</v>
      </c>
    </row>
    <row r="349" spans="1:11">
      <c r="A349" s="1">
        <v>9990069</v>
      </c>
      <c r="B349" s="7">
        <f t="shared" ca="1" si="30"/>
        <v>31</v>
      </c>
      <c r="C349" s="7">
        <f>MATCH(Salary[[#This Row],[ماه]],Calc!$A$16:$A$27,0)</f>
        <v>6</v>
      </c>
      <c r="D349" s="8" t="s">
        <v>91</v>
      </c>
      <c r="E349" s="9">
        <f t="shared" ca="1" si="35"/>
        <v>8607000</v>
      </c>
      <c r="F349" s="9"/>
      <c r="G349" s="9">
        <f t="shared" ca="1" si="31"/>
        <v>8607000</v>
      </c>
      <c r="H349" s="9">
        <f t="shared" ca="1" si="32"/>
        <v>1979610</v>
      </c>
      <c r="I349" s="9">
        <f t="shared" ca="1" si="33"/>
        <v>602490</v>
      </c>
      <c r="J349" s="22">
        <f ca="1">IF(Salary[[#This Row],[پایه حقوق]]&lt;=5600000,0,(Salary[[#This Row],[پایه حقوق]]-5600000)*0.1)</f>
        <v>300700</v>
      </c>
      <c r="K349" s="16">
        <f t="shared" ca="1" si="34"/>
        <v>7703810</v>
      </c>
    </row>
    <row r="350" spans="1:11">
      <c r="A350" s="1">
        <v>9990117</v>
      </c>
      <c r="B350" s="7">
        <f t="shared" ca="1" si="30"/>
        <v>93</v>
      </c>
      <c r="C350" s="7">
        <f>MATCH(Salary[[#This Row],[ماه]],Calc!$A$16:$A$27,0)</f>
        <v>6</v>
      </c>
      <c r="D350" s="8" t="s">
        <v>91</v>
      </c>
      <c r="E350" s="9">
        <f t="shared" ca="1" si="35"/>
        <v>7914000</v>
      </c>
      <c r="F350" s="9"/>
      <c r="G350" s="9">
        <f t="shared" ca="1" si="31"/>
        <v>7914000</v>
      </c>
      <c r="H350" s="9">
        <f t="shared" ca="1" si="32"/>
        <v>1820220</v>
      </c>
      <c r="I350" s="9">
        <f t="shared" ca="1" si="33"/>
        <v>553980</v>
      </c>
      <c r="J350" s="22">
        <f ca="1">IF(Salary[[#This Row],[پایه حقوق]]&lt;=5600000,0,(Salary[[#This Row],[پایه حقوق]]-5600000)*0.1)</f>
        <v>231400</v>
      </c>
      <c r="K350" s="16">
        <f t="shared" ca="1" si="34"/>
        <v>7128620</v>
      </c>
    </row>
    <row r="351" spans="1:11">
      <c r="A351" s="1">
        <v>9990165</v>
      </c>
      <c r="B351" s="7">
        <f t="shared" ca="1" si="30"/>
        <v>30</v>
      </c>
      <c r="C351" s="7">
        <f>MATCH(Salary[[#This Row],[ماه]],Calc!$A$16:$A$27,0)</f>
        <v>6</v>
      </c>
      <c r="D351" s="8" t="s">
        <v>91</v>
      </c>
      <c r="E351" s="9">
        <f t="shared" ca="1" si="35"/>
        <v>14791000</v>
      </c>
      <c r="F351" s="9"/>
      <c r="G351" s="9">
        <f t="shared" ca="1" si="31"/>
        <v>14791000</v>
      </c>
      <c r="H351" s="9">
        <f t="shared" ca="1" si="32"/>
        <v>3401930</v>
      </c>
      <c r="I351" s="9">
        <f t="shared" ca="1" si="33"/>
        <v>1035370.0000000001</v>
      </c>
      <c r="J351" s="22">
        <f ca="1">IF(Salary[[#This Row],[پایه حقوق]]&lt;=5600000,0,(Salary[[#This Row],[پایه حقوق]]-5600000)*0.1)</f>
        <v>919100</v>
      </c>
      <c r="K351" s="16">
        <f t="shared" ca="1" si="34"/>
        <v>12836530</v>
      </c>
    </row>
    <row r="352" spans="1:11">
      <c r="A352" s="1">
        <v>9990213</v>
      </c>
      <c r="B352" s="7">
        <f t="shared" ca="1" si="30"/>
        <v>73</v>
      </c>
      <c r="C352" s="7">
        <f>MATCH(Salary[[#This Row],[ماه]],Calc!$A$16:$A$27,0)</f>
        <v>6</v>
      </c>
      <c r="D352" s="8" t="s">
        <v>91</v>
      </c>
      <c r="E352" s="9">
        <f t="shared" ca="1" si="35"/>
        <v>13351000</v>
      </c>
      <c r="F352" s="9"/>
      <c r="G352" s="9">
        <f t="shared" ca="1" si="31"/>
        <v>13351000</v>
      </c>
      <c r="H352" s="9">
        <f t="shared" ca="1" si="32"/>
        <v>3070730</v>
      </c>
      <c r="I352" s="9">
        <f t="shared" ca="1" si="33"/>
        <v>934570.00000000012</v>
      </c>
      <c r="J352" s="22">
        <f ca="1">IF(Salary[[#This Row],[پایه حقوق]]&lt;=5600000,0,(Salary[[#This Row],[پایه حقوق]]-5600000)*0.1)</f>
        <v>775100</v>
      </c>
      <c r="K352" s="16">
        <f t="shared" ca="1" si="34"/>
        <v>11641330</v>
      </c>
    </row>
    <row r="353" spans="1:11">
      <c r="A353" s="1">
        <v>9990261</v>
      </c>
      <c r="B353" s="7">
        <f t="shared" ca="1" si="30"/>
        <v>95</v>
      </c>
      <c r="C353" s="7">
        <f>MATCH(Salary[[#This Row],[ماه]],Calc!$A$16:$A$27,0)</f>
        <v>6</v>
      </c>
      <c r="D353" s="8" t="s">
        <v>91</v>
      </c>
      <c r="E353" s="9">
        <f t="shared" ca="1" si="35"/>
        <v>9695000</v>
      </c>
      <c r="F353" s="9"/>
      <c r="G353" s="9">
        <f t="shared" ca="1" si="31"/>
        <v>9695000</v>
      </c>
      <c r="H353" s="9">
        <f t="shared" ca="1" si="32"/>
        <v>2229850</v>
      </c>
      <c r="I353" s="9">
        <f t="shared" ca="1" si="33"/>
        <v>678650.00000000012</v>
      </c>
      <c r="J353" s="22">
        <f ca="1">IF(Salary[[#This Row],[پایه حقوق]]&lt;=5600000,0,(Salary[[#This Row],[پایه حقوق]]-5600000)*0.1)</f>
        <v>409500</v>
      </c>
      <c r="K353" s="16">
        <f t="shared" ca="1" si="34"/>
        <v>8606850</v>
      </c>
    </row>
    <row r="354" spans="1:11">
      <c r="A354" s="1">
        <v>9990309</v>
      </c>
      <c r="B354" s="7">
        <f t="shared" ca="1" si="30"/>
        <v>51</v>
      </c>
      <c r="C354" s="7">
        <f>MATCH(Salary[[#This Row],[ماه]],Calc!$A$16:$A$27,0)</f>
        <v>6</v>
      </c>
      <c r="D354" s="8" t="s">
        <v>91</v>
      </c>
      <c r="E354" s="9">
        <f t="shared" ca="1" si="35"/>
        <v>14121000</v>
      </c>
      <c r="F354" s="9"/>
      <c r="G354" s="9">
        <f t="shared" ca="1" si="31"/>
        <v>14121000</v>
      </c>
      <c r="H354" s="9">
        <f t="shared" ca="1" si="32"/>
        <v>3247830</v>
      </c>
      <c r="I354" s="9">
        <f t="shared" ca="1" si="33"/>
        <v>988470.00000000012</v>
      </c>
      <c r="J354" s="22">
        <f ca="1">IF(Salary[[#This Row],[پایه حقوق]]&lt;=5600000,0,(Salary[[#This Row],[پایه حقوق]]-5600000)*0.1)</f>
        <v>852100</v>
      </c>
      <c r="K354" s="16">
        <f t="shared" ca="1" si="34"/>
        <v>12280430</v>
      </c>
    </row>
    <row r="355" spans="1:11">
      <c r="A355" s="1">
        <v>9990357</v>
      </c>
      <c r="B355" s="7">
        <f t="shared" ca="1" si="30"/>
        <v>38</v>
      </c>
      <c r="C355" s="7">
        <f>MATCH(Salary[[#This Row],[ماه]],Calc!$A$16:$A$27,0)</f>
        <v>6</v>
      </c>
      <c r="D355" s="8" t="s">
        <v>91</v>
      </c>
      <c r="E355" s="9">
        <f t="shared" ca="1" si="35"/>
        <v>14073000</v>
      </c>
      <c r="F355" s="9"/>
      <c r="G355" s="9">
        <f t="shared" ca="1" si="31"/>
        <v>14073000</v>
      </c>
      <c r="H355" s="9">
        <f t="shared" ca="1" si="32"/>
        <v>3236790</v>
      </c>
      <c r="I355" s="9">
        <f t="shared" ca="1" si="33"/>
        <v>985110.00000000012</v>
      </c>
      <c r="J355" s="22">
        <f ca="1">IF(Salary[[#This Row],[پایه حقوق]]&lt;=5600000,0,(Salary[[#This Row],[پایه حقوق]]-5600000)*0.1)</f>
        <v>847300</v>
      </c>
      <c r="K355" s="16">
        <f t="shared" ca="1" si="34"/>
        <v>12240590</v>
      </c>
    </row>
    <row r="356" spans="1:11">
      <c r="A356" s="1">
        <v>9990405</v>
      </c>
      <c r="B356" s="7">
        <f t="shared" ca="1" si="30"/>
        <v>30</v>
      </c>
      <c r="C356" s="7">
        <f>MATCH(Salary[[#This Row],[ماه]],Calc!$A$16:$A$27,0)</f>
        <v>6</v>
      </c>
      <c r="D356" s="8" t="s">
        <v>91</v>
      </c>
      <c r="E356" s="9">
        <f t="shared" ca="1" si="35"/>
        <v>9022000</v>
      </c>
      <c r="F356" s="9"/>
      <c r="G356" s="9">
        <f t="shared" ca="1" si="31"/>
        <v>9022000</v>
      </c>
      <c r="H356" s="9">
        <f t="shared" ca="1" si="32"/>
        <v>2075060</v>
      </c>
      <c r="I356" s="9">
        <f t="shared" ca="1" si="33"/>
        <v>631540.00000000012</v>
      </c>
      <c r="J356" s="22">
        <f ca="1">IF(Salary[[#This Row],[پایه حقوق]]&lt;=5600000,0,(Salary[[#This Row],[پایه حقوق]]-5600000)*0.1)</f>
        <v>342200</v>
      </c>
      <c r="K356" s="16">
        <f t="shared" ca="1" si="34"/>
        <v>8048260</v>
      </c>
    </row>
    <row r="357" spans="1:11">
      <c r="A357" s="1">
        <v>9990453</v>
      </c>
      <c r="B357" s="7">
        <f t="shared" ca="1" si="30"/>
        <v>37</v>
      </c>
      <c r="C357" s="7">
        <f>MATCH(Salary[[#This Row],[ماه]],Calc!$A$16:$A$27,0)</f>
        <v>6</v>
      </c>
      <c r="D357" s="8" t="s">
        <v>91</v>
      </c>
      <c r="E357" s="9">
        <f t="shared" ca="1" si="35"/>
        <v>6170000</v>
      </c>
      <c r="F357" s="9"/>
      <c r="G357" s="9">
        <f t="shared" ca="1" si="31"/>
        <v>6170000</v>
      </c>
      <c r="H357" s="9">
        <f t="shared" ca="1" si="32"/>
        <v>1419100</v>
      </c>
      <c r="I357" s="9">
        <f t="shared" ca="1" si="33"/>
        <v>431900.00000000006</v>
      </c>
      <c r="J357" s="22">
        <f ca="1">IF(Salary[[#This Row],[پایه حقوق]]&lt;=5600000,0,(Salary[[#This Row],[پایه حقوق]]-5600000)*0.1)</f>
        <v>57000</v>
      </c>
      <c r="K357" s="16">
        <f t="shared" ca="1" si="34"/>
        <v>5681100</v>
      </c>
    </row>
    <row r="358" spans="1:11">
      <c r="A358" s="1">
        <v>9990501</v>
      </c>
      <c r="B358" s="7">
        <f t="shared" ca="1" si="30"/>
        <v>93</v>
      </c>
      <c r="C358" s="7">
        <f>MATCH(Salary[[#This Row],[ماه]],Calc!$A$16:$A$27,0)</f>
        <v>6</v>
      </c>
      <c r="D358" s="8" t="s">
        <v>91</v>
      </c>
      <c r="E358" s="9">
        <f t="shared" ca="1" si="35"/>
        <v>14139000</v>
      </c>
      <c r="F358" s="9"/>
      <c r="G358" s="9">
        <f t="shared" ca="1" si="31"/>
        <v>14139000</v>
      </c>
      <c r="H358" s="9">
        <f t="shared" ca="1" si="32"/>
        <v>3251970</v>
      </c>
      <c r="I358" s="9">
        <f t="shared" ca="1" si="33"/>
        <v>989730.00000000012</v>
      </c>
      <c r="J358" s="22">
        <f ca="1">IF(Salary[[#This Row],[پایه حقوق]]&lt;=5600000,0,(Salary[[#This Row],[پایه حقوق]]-5600000)*0.1)</f>
        <v>853900</v>
      </c>
      <c r="K358" s="16">
        <f t="shared" ca="1" si="34"/>
        <v>12295370</v>
      </c>
    </row>
    <row r="359" spans="1:11">
      <c r="A359" s="1">
        <v>9990549</v>
      </c>
      <c r="B359" s="7">
        <f t="shared" ca="1" si="30"/>
        <v>75</v>
      </c>
      <c r="C359" s="7">
        <f>MATCH(Salary[[#This Row],[ماه]],Calc!$A$16:$A$27,0)</f>
        <v>6</v>
      </c>
      <c r="D359" s="8" t="s">
        <v>91</v>
      </c>
      <c r="E359" s="9">
        <f t="shared" ca="1" si="35"/>
        <v>6251000</v>
      </c>
      <c r="F359" s="9"/>
      <c r="G359" s="9">
        <f t="shared" ca="1" si="31"/>
        <v>6251000</v>
      </c>
      <c r="H359" s="9">
        <f t="shared" ca="1" si="32"/>
        <v>1437730</v>
      </c>
      <c r="I359" s="9">
        <f t="shared" ca="1" si="33"/>
        <v>437570.00000000006</v>
      </c>
      <c r="J359" s="22">
        <f ca="1">IF(Salary[[#This Row],[پایه حقوق]]&lt;=5600000,0,(Salary[[#This Row],[پایه حقوق]]-5600000)*0.1)</f>
        <v>65100</v>
      </c>
      <c r="K359" s="16">
        <f t="shared" ca="1" si="34"/>
        <v>5748330</v>
      </c>
    </row>
    <row r="360" spans="1:11">
      <c r="A360" s="1">
        <v>9990597</v>
      </c>
      <c r="B360" s="7">
        <f t="shared" ca="1" si="30"/>
        <v>47</v>
      </c>
      <c r="C360" s="7">
        <f>MATCH(Salary[[#This Row],[ماه]],Calc!$A$16:$A$27,0)</f>
        <v>6</v>
      </c>
      <c r="D360" s="8" t="s">
        <v>91</v>
      </c>
      <c r="E360" s="9">
        <f t="shared" ca="1" si="35"/>
        <v>12839000</v>
      </c>
      <c r="F360" s="9"/>
      <c r="G360" s="9">
        <f t="shared" ca="1" si="31"/>
        <v>12839000</v>
      </c>
      <c r="H360" s="9">
        <f t="shared" ca="1" si="32"/>
        <v>2952970</v>
      </c>
      <c r="I360" s="9">
        <f t="shared" ca="1" si="33"/>
        <v>898730.00000000012</v>
      </c>
      <c r="J360" s="22">
        <f ca="1">IF(Salary[[#This Row],[پایه حقوق]]&lt;=5600000,0,(Salary[[#This Row],[پایه حقوق]]-5600000)*0.1)</f>
        <v>723900</v>
      </c>
      <c r="K360" s="16">
        <f t="shared" ca="1" si="34"/>
        <v>11216370</v>
      </c>
    </row>
    <row r="361" spans="1:11">
      <c r="A361" s="1">
        <v>9990645</v>
      </c>
      <c r="B361" s="7">
        <f t="shared" ca="1" si="30"/>
        <v>92</v>
      </c>
      <c r="C361" s="7">
        <f>MATCH(Salary[[#This Row],[ماه]],Calc!$A$16:$A$27,0)</f>
        <v>6</v>
      </c>
      <c r="D361" s="8" t="s">
        <v>91</v>
      </c>
      <c r="E361" s="9">
        <f t="shared" ca="1" si="35"/>
        <v>3312000</v>
      </c>
      <c r="F361" s="9"/>
      <c r="G361" s="9">
        <f t="shared" ca="1" si="31"/>
        <v>3312000</v>
      </c>
      <c r="H361" s="9">
        <f t="shared" ca="1" si="32"/>
        <v>761760</v>
      </c>
      <c r="I361" s="9">
        <f t="shared" ca="1" si="33"/>
        <v>231840.00000000003</v>
      </c>
      <c r="J361" s="22">
        <f ca="1">IF(Salary[[#This Row],[پایه حقوق]]&lt;=5600000,0,(Salary[[#This Row],[پایه حقوق]]-5600000)*0.1)</f>
        <v>0</v>
      </c>
      <c r="K361" s="16">
        <f t="shared" ca="1" si="34"/>
        <v>3080160</v>
      </c>
    </row>
    <row r="362" spans="1:11">
      <c r="A362" s="1">
        <v>9987656</v>
      </c>
      <c r="B362" s="7">
        <f t="shared" ca="1" si="30"/>
        <v>78</v>
      </c>
      <c r="C362" s="7">
        <f>MATCH(Salary[[#This Row],[ماه]],Calc!$A$16:$A$27,0)</f>
        <v>7</v>
      </c>
      <c r="D362" s="8" t="s">
        <v>92</v>
      </c>
      <c r="E362" s="9">
        <f t="shared" ca="1" si="35"/>
        <v>12565000</v>
      </c>
      <c r="F362" s="9">
        <f ca="1">0.7*E362</f>
        <v>8795500</v>
      </c>
      <c r="G362" s="9">
        <f t="shared" ca="1" si="31"/>
        <v>21360500</v>
      </c>
      <c r="H362" s="9">
        <f t="shared" ca="1" si="32"/>
        <v>2889950</v>
      </c>
      <c r="I362" s="9">
        <f t="shared" ca="1" si="33"/>
        <v>879550.00000000012</v>
      </c>
      <c r="J362" s="22">
        <f ca="1">IF(Salary[[#This Row],[پایه حقوق]]&lt;=5600000,0,(Salary[[#This Row],[پایه حقوق]]-5600000)*0.1)</f>
        <v>696500</v>
      </c>
      <c r="K362" s="16">
        <f t="shared" ca="1" si="34"/>
        <v>19784450</v>
      </c>
    </row>
    <row r="363" spans="1:11">
      <c r="A363" s="1">
        <v>9987728</v>
      </c>
      <c r="B363" s="7">
        <f t="shared" ca="1" si="30"/>
        <v>47</v>
      </c>
      <c r="C363" s="7">
        <f>MATCH(Salary[[#This Row],[ماه]],Calc!$A$16:$A$27,0)</f>
        <v>7</v>
      </c>
      <c r="D363" s="8" t="s">
        <v>92</v>
      </c>
      <c r="E363" s="9">
        <f t="shared" ca="1" si="35"/>
        <v>5762000</v>
      </c>
      <c r="F363" s="9"/>
      <c r="G363" s="9">
        <f t="shared" ca="1" si="31"/>
        <v>5762000</v>
      </c>
      <c r="H363" s="9">
        <f t="shared" ca="1" si="32"/>
        <v>1325260</v>
      </c>
      <c r="I363" s="9">
        <f t="shared" ca="1" si="33"/>
        <v>403340.00000000006</v>
      </c>
      <c r="J363" s="22">
        <f ca="1">IF(Salary[[#This Row],[پایه حقوق]]&lt;=5600000,0,(Salary[[#This Row],[پایه حقوق]]-5600000)*0.1)</f>
        <v>16200</v>
      </c>
      <c r="K363" s="16">
        <f t="shared" ca="1" si="34"/>
        <v>5342460</v>
      </c>
    </row>
    <row r="364" spans="1:11">
      <c r="A364" s="1">
        <v>9987826</v>
      </c>
      <c r="B364" s="7">
        <f t="shared" ca="1" si="30"/>
        <v>57</v>
      </c>
      <c r="C364" s="7">
        <f>MATCH(Salary[[#This Row],[ماه]],Calc!$A$16:$A$27,0)</f>
        <v>7</v>
      </c>
      <c r="D364" s="8" t="s">
        <v>92</v>
      </c>
      <c r="E364" s="9">
        <f t="shared" ca="1" si="35"/>
        <v>6516000</v>
      </c>
      <c r="F364" s="9">
        <f ca="1">0.7*E364</f>
        <v>4561200</v>
      </c>
      <c r="G364" s="9">
        <f t="shared" ca="1" si="31"/>
        <v>11077200</v>
      </c>
      <c r="H364" s="9">
        <f t="shared" ca="1" si="32"/>
        <v>1498680</v>
      </c>
      <c r="I364" s="9">
        <f t="shared" ca="1" si="33"/>
        <v>456120.00000000006</v>
      </c>
      <c r="J364" s="22">
        <f ca="1">IF(Salary[[#This Row],[پایه حقوق]]&lt;=5600000,0,(Salary[[#This Row],[پایه حقوق]]-5600000)*0.1)</f>
        <v>91600</v>
      </c>
      <c r="K364" s="16">
        <f t="shared" ca="1" si="34"/>
        <v>10529480</v>
      </c>
    </row>
    <row r="365" spans="1:11">
      <c r="A365" s="1">
        <v>9987915</v>
      </c>
      <c r="B365" s="7">
        <f t="shared" ca="1" si="30"/>
        <v>68</v>
      </c>
      <c r="C365" s="7">
        <f>MATCH(Salary[[#This Row],[ماه]],Calc!$A$16:$A$27,0)</f>
        <v>7</v>
      </c>
      <c r="D365" s="8" t="s">
        <v>92</v>
      </c>
      <c r="E365" s="9">
        <f t="shared" ca="1" si="35"/>
        <v>10665000</v>
      </c>
      <c r="F365" s="9">
        <f ca="1">0.7*E365</f>
        <v>7465499.9999999991</v>
      </c>
      <c r="G365" s="9">
        <f t="shared" ca="1" si="31"/>
        <v>18130500</v>
      </c>
      <c r="H365" s="9">
        <f t="shared" ca="1" si="32"/>
        <v>2452950</v>
      </c>
      <c r="I365" s="9">
        <f t="shared" ca="1" si="33"/>
        <v>746550.00000000012</v>
      </c>
      <c r="J365" s="22">
        <f ca="1">IF(Salary[[#This Row],[پایه حقوق]]&lt;=5600000,0,(Salary[[#This Row],[پایه حقوق]]-5600000)*0.1)</f>
        <v>506500</v>
      </c>
      <c r="K365" s="16">
        <f t="shared" ca="1" si="34"/>
        <v>16877450</v>
      </c>
    </row>
    <row r="366" spans="1:11">
      <c r="A366" s="1">
        <v>9987938</v>
      </c>
      <c r="B366" s="7">
        <f t="shared" ca="1" si="30"/>
        <v>60</v>
      </c>
      <c r="C366" s="7">
        <f>MATCH(Salary[[#This Row],[ماه]],Calc!$A$16:$A$27,0)</f>
        <v>7</v>
      </c>
      <c r="D366" s="8" t="s">
        <v>92</v>
      </c>
      <c r="E366" s="9">
        <f t="shared" ca="1" si="35"/>
        <v>13328000</v>
      </c>
      <c r="F366" s="9"/>
      <c r="G366" s="9">
        <f t="shared" ca="1" si="31"/>
        <v>13328000</v>
      </c>
      <c r="H366" s="9">
        <f t="shared" ca="1" si="32"/>
        <v>3065440</v>
      </c>
      <c r="I366" s="9">
        <f t="shared" ca="1" si="33"/>
        <v>932960.00000000012</v>
      </c>
      <c r="J366" s="22">
        <f ca="1">IF(Salary[[#This Row],[پایه حقوق]]&lt;=5600000,0,(Salary[[#This Row],[پایه حقوق]]-5600000)*0.1)</f>
        <v>772800</v>
      </c>
      <c r="K366" s="16">
        <f t="shared" ca="1" si="34"/>
        <v>11622240</v>
      </c>
    </row>
    <row r="367" spans="1:11">
      <c r="A367" s="1">
        <v>9988023</v>
      </c>
      <c r="B367" s="7">
        <f t="shared" ca="1" si="30"/>
        <v>85</v>
      </c>
      <c r="C367" s="7">
        <f>MATCH(Salary[[#This Row],[ماه]],Calc!$A$16:$A$27,0)</f>
        <v>7</v>
      </c>
      <c r="D367" s="8" t="s">
        <v>92</v>
      </c>
      <c r="E367" s="9">
        <f t="shared" ca="1" si="35"/>
        <v>4787000</v>
      </c>
      <c r="F367" s="9"/>
      <c r="G367" s="9">
        <f t="shared" ca="1" si="31"/>
        <v>4787000</v>
      </c>
      <c r="H367" s="9">
        <f t="shared" ca="1" si="32"/>
        <v>1101010</v>
      </c>
      <c r="I367" s="9">
        <f t="shared" ca="1" si="33"/>
        <v>335090.00000000006</v>
      </c>
      <c r="J367" s="22">
        <f ca="1">IF(Salary[[#This Row],[پایه حقوق]]&lt;=5600000,0,(Salary[[#This Row],[پایه حقوق]]-5600000)*0.1)</f>
        <v>0</v>
      </c>
      <c r="K367" s="16">
        <f t="shared" ca="1" si="34"/>
        <v>4451910</v>
      </c>
    </row>
    <row r="368" spans="1:11">
      <c r="A368" s="1">
        <v>9988106</v>
      </c>
      <c r="B368" s="7">
        <f t="shared" ca="1" si="30"/>
        <v>72</v>
      </c>
      <c r="C368" s="7">
        <f>MATCH(Salary[[#This Row],[ماه]],Calc!$A$16:$A$27,0)</f>
        <v>7</v>
      </c>
      <c r="D368" s="8" t="s">
        <v>92</v>
      </c>
      <c r="E368" s="9">
        <f t="shared" ca="1" si="35"/>
        <v>10966000</v>
      </c>
      <c r="F368" s="9"/>
      <c r="G368" s="9">
        <f t="shared" ca="1" si="31"/>
        <v>10966000</v>
      </c>
      <c r="H368" s="9">
        <f t="shared" ca="1" si="32"/>
        <v>2522180</v>
      </c>
      <c r="I368" s="9">
        <f t="shared" ca="1" si="33"/>
        <v>767620.00000000012</v>
      </c>
      <c r="J368" s="22">
        <f ca="1">IF(Salary[[#This Row],[پایه حقوق]]&lt;=5600000,0,(Salary[[#This Row],[پایه حقوق]]-5600000)*0.1)</f>
        <v>536600</v>
      </c>
      <c r="K368" s="16">
        <f t="shared" ca="1" si="34"/>
        <v>9661780</v>
      </c>
    </row>
    <row r="369" spans="1:11">
      <c r="A369" s="1">
        <v>9988137</v>
      </c>
      <c r="B369" s="7">
        <f t="shared" ca="1" si="30"/>
        <v>67</v>
      </c>
      <c r="C369" s="7">
        <f>MATCH(Salary[[#This Row],[ماه]],Calc!$A$16:$A$27,0)</f>
        <v>7</v>
      </c>
      <c r="D369" s="8" t="s">
        <v>92</v>
      </c>
      <c r="E369" s="9">
        <f t="shared" ca="1" si="35"/>
        <v>7333000</v>
      </c>
      <c r="F369" s="9"/>
      <c r="G369" s="9">
        <f t="shared" ca="1" si="31"/>
        <v>7333000</v>
      </c>
      <c r="H369" s="9">
        <f t="shared" ca="1" si="32"/>
        <v>1686590</v>
      </c>
      <c r="I369" s="9">
        <f t="shared" ca="1" si="33"/>
        <v>513310.00000000006</v>
      </c>
      <c r="J369" s="22">
        <f ca="1">IF(Salary[[#This Row],[پایه حقوق]]&lt;=5600000,0,(Salary[[#This Row],[پایه حقوق]]-5600000)*0.1)</f>
        <v>173300</v>
      </c>
      <c r="K369" s="16">
        <f t="shared" ca="1" si="34"/>
        <v>6646390</v>
      </c>
    </row>
    <row r="370" spans="1:11">
      <c r="A370" s="1">
        <v>9988165</v>
      </c>
      <c r="B370" s="7">
        <f t="shared" ca="1" si="30"/>
        <v>98</v>
      </c>
      <c r="C370" s="7">
        <f>MATCH(Salary[[#This Row],[ماه]],Calc!$A$16:$A$27,0)</f>
        <v>7</v>
      </c>
      <c r="D370" s="8" t="s">
        <v>92</v>
      </c>
      <c r="E370" s="9">
        <f t="shared" ca="1" si="35"/>
        <v>10675000</v>
      </c>
      <c r="F370" s="9"/>
      <c r="G370" s="9">
        <f t="shared" ca="1" si="31"/>
        <v>10675000</v>
      </c>
      <c r="H370" s="9">
        <f t="shared" ca="1" si="32"/>
        <v>2455250</v>
      </c>
      <c r="I370" s="9">
        <f t="shared" ca="1" si="33"/>
        <v>747250.00000000012</v>
      </c>
      <c r="J370" s="22">
        <f ca="1">IF(Salary[[#This Row],[پایه حقوق]]&lt;=5600000,0,(Salary[[#This Row],[پایه حقوق]]-5600000)*0.1)</f>
        <v>507500</v>
      </c>
      <c r="K370" s="16">
        <f t="shared" ca="1" si="34"/>
        <v>9420250</v>
      </c>
    </row>
    <row r="371" spans="1:11">
      <c r="A371" s="1">
        <v>9988236</v>
      </c>
      <c r="B371" s="7">
        <f t="shared" ca="1" si="30"/>
        <v>43</v>
      </c>
      <c r="C371" s="7">
        <f>MATCH(Salary[[#This Row],[ماه]],Calc!$A$16:$A$27,0)</f>
        <v>7</v>
      </c>
      <c r="D371" s="8" t="s">
        <v>92</v>
      </c>
      <c r="E371" s="9">
        <f t="shared" ca="1" si="35"/>
        <v>8161000</v>
      </c>
      <c r="F371" s="9"/>
      <c r="G371" s="9">
        <f t="shared" ca="1" si="31"/>
        <v>8161000</v>
      </c>
      <c r="H371" s="9">
        <f t="shared" ca="1" si="32"/>
        <v>1877030</v>
      </c>
      <c r="I371" s="9">
        <f t="shared" ca="1" si="33"/>
        <v>571270</v>
      </c>
      <c r="J371" s="22">
        <f ca="1">IF(Salary[[#This Row],[پایه حقوق]]&lt;=5600000,0,(Salary[[#This Row],[پایه حقوق]]-5600000)*0.1)</f>
        <v>256100</v>
      </c>
      <c r="K371" s="16">
        <f t="shared" ca="1" si="34"/>
        <v>7333630</v>
      </c>
    </row>
    <row r="372" spans="1:11">
      <c r="A372" s="1">
        <v>9988277</v>
      </c>
      <c r="B372" s="7">
        <f t="shared" ca="1" si="30"/>
        <v>62</v>
      </c>
      <c r="C372" s="7">
        <f>MATCH(Salary[[#This Row],[ماه]],Calc!$A$16:$A$27,0)</f>
        <v>7</v>
      </c>
      <c r="D372" s="8" t="s">
        <v>92</v>
      </c>
      <c r="E372" s="9">
        <f t="shared" ca="1" si="35"/>
        <v>13972000</v>
      </c>
      <c r="F372" s="9"/>
      <c r="G372" s="9">
        <f t="shared" ca="1" si="31"/>
        <v>13972000</v>
      </c>
      <c r="H372" s="9">
        <f t="shared" ca="1" si="32"/>
        <v>3213560</v>
      </c>
      <c r="I372" s="9">
        <f t="shared" ca="1" si="33"/>
        <v>978040.00000000012</v>
      </c>
      <c r="J372" s="22">
        <f ca="1">IF(Salary[[#This Row],[پایه حقوق]]&lt;=5600000,0,(Salary[[#This Row],[پایه حقوق]]-5600000)*0.1)</f>
        <v>837200</v>
      </c>
      <c r="K372" s="16">
        <f t="shared" ca="1" si="34"/>
        <v>12156760</v>
      </c>
    </row>
    <row r="373" spans="1:11">
      <c r="A373" s="1">
        <v>9988371</v>
      </c>
      <c r="B373" s="7">
        <f t="shared" ca="1" si="30"/>
        <v>83</v>
      </c>
      <c r="C373" s="7">
        <f>MATCH(Salary[[#This Row],[ماه]],Calc!$A$16:$A$27,0)</f>
        <v>7</v>
      </c>
      <c r="D373" s="8" t="s">
        <v>92</v>
      </c>
      <c r="E373" s="9">
        <f t="shared" ca="1" si="35"/>
        <v>14187000</v>
      </c>
      <c r="F373" s="9"/>
      <c r="G373" s="9">
        <f t="shared" ca="1" si="31"/>
        <v>14187000</v>
      </c>
      <c r="H373" s="9">
        <f t="shared" ca="1" si="32"/>
        <v>3263010</v>
      </c>
      <c r="I373" s="9">
        <f t="shared" ca="1" si="33"/>
        <v>993090.00000000012</v>
      </c>
      <c r="J373" s="22">
        <f ca="1">IF(Salary[[#This Row],[پایه حقوق]]&lt;=5600000,0,(Salary[[#This Row],[پایه حقوق]]-5600000)*0.1)</f>
        <v>858700</v>
      </c>
      <c r="K373" s="16">
        <f t="shared" ca="1" si="34"/>
        <v>12335210</v>
      </c>
    </row>
    <row r="374" spans="1:11">
      <c r="A374" s="1">
        <v>9988393</v>
      </c>
      <c r="B374" s="7">
        <f t="shared" ca="1" si="30"/>
        <v>69</v>
      </c>
      <c r="C374" s="7">
        <f>MATCH(Salary[[#This Row],[ماه]],Calc!$A$16:$A$27,0)</f>
        <v>7</v>
      </c>
      <c r="D374" s="8" t="s">
        <v>92</v>
      </c>
      <c r="E374" s="9">
        <f t="shared" ca="1" si="35"/>
        <v>4686000</v>
      </c>
      <c r="F374" s="9"/>
      <c r="G374" s="9">
        <f t="shared" ca="1" si="31"/>
        <v>4686000</v>
      </c>
      <c r="H374" s="9">
        <f t="shared" ca="1" si="32"/>
        <v>1077780</v>
      </c>
      <c r="I374" s="9">
        <f t="shared" ca="1" si="33"/>
        <v>328020.00000000006</v>
      </c>
      <c r="J374" s="22">
        <f ca="1">IF(Salary[[#This Row],[پایه حقوق]]&lt;=5600000,0,(Salary[[#This Row],[پایه حقوق]]-5600000)*0.1)</f>
        <v>0</v>
      </c>
      <c r="K374" s="16">
        <f t="shared" ca="1" si="34"/>
        <v>4357980</v>
      </c>
    </row>
    <row r="375" spans="1:11">
      <c r="A375" s="1">
        <v>9988453</v>
      </c>
      <c r="B375" s="7">
        <f t="shared" ca="1" si="30"/>
        <v>83</v>
      </c>
      <c r="C375" s="7">
        <f>MATCH(Salary[[#This Row],[ماه]],Calc!$A$16:$A$27,0)</f>
        <v>7</v>
      </c>
      <c r="D375" s="8" t="s">
        <v>92</v>
      </c>
      <c r="E375" s="9">
        <f t="shared" ca="1" si="35"/>
        <v>11476000</v>
      </c>
      <c r="F375" s="9">
        <f ca="1">0.7*E375</f>
        <v>8033199.9999999991</v>
      </c>
      <c r="G375" s="9">
        <f t="shared" ca="1" si="31"/>
        <v>19509200</v>
      </c>
      <c r="H375" s="9">
        <f t="shared" ca="1" si="32"/>
        <v>2639480</v>
      </c>
      <c r="I375" s="9">
        <f t="shared" ca="1" si="33"/>
        <v>803320.00000000012</v>
      </c>
      <c r="J375" s="22">
        <f ca="1">IF(Salary[[#This Row],[پایه حقوق]]&lt;=5600000,0,(Salary[[#This Row],[پایه حقوق]]-5600000)*0.1)</f>
        <v>587600</v>
      </c>
      <c r="K375" s="16">
        <f t="shared" ca="1" si="34"/>
        <v>18118280</v>
      </c>
    </row>
    <row r="376" spans="1:11">
      <c r="A376" s="1">
        <v>9988492</v>
      </c>
      <c r="B376" s="7">
        <f t="shared" ca="1" si="30"/>
        <v>69</v>
      </c>
      <c r="C376" s="7">
        <f>MATCH(Salary[[#This Row],[ماه]],Calc!$A$16:$A$27,0)</f>
        <v>7</v>
      </c>
      <c r="D376" s="8" t="s">
        <v>92</v>
      </c>
      <c r="E376" s="9">
        <f t="shared" ca="1" si="35"/>
        <v>8264000</v>
      </c>
      <c r="F376" s="9"/>
      <c r="G376" s="9">
        <f t="shared" ca="1" si="31"/>
        <v>8264000</v>
      </c>
      <c r="H376" s="9">
        <f t="shared" ca="1" si="32"/>
        <v>1900720</v>
      </c>
      <c r="I376" s="9">
        <f t="shared" ca="1" si="33"/>
        <v>578480</v>
      </c>
      <c r="J376" s="22">
        <f ca="1">IF(Salary[[#This Row],[پایه حقوق]]&lt;=5600000,0,(Salary[[#This Row],[پایه حقوق]]-5600000)*0.1)</f>
        <v>266400</v>
      </c>
      <c r="K376" s="16">
        <f t="shared" ca="1" si="34"/>
        <v>7419120</v>
      </c>
    </row>
    <row r="377" spans="1:11">
      <c r="A377" s="1">
        <v>9988572</v>
      </c>
      <c r="B377" s="7">
        <f t="shared" ca="1" si="30"/>
        <v>39</v>
      </c>
      <c r="C377" s="7">
        <f>MATCH(Salary[[#This Row],[ماه]],Calc!$A$16:$A$27,0)</f>
        <v>7</v>
      </c>
      <c r="D377" s="8" t="s">
        <v>92</v>
      </c>
      <c r="E377" s="9">
        <f t="shared" ca="1" si="35"/>
        <v>6734000</v>
      </c>
      <c r="F377" s="9"/>
      <c r="G377" s="9">
        <f t="shared" ca="1" si="31"/>
        <v>6734000</v>
      </c>
      <c r="H377" s="9">
        <f t="shared" ca="1" si="32"/>
        <v>1548820</v>
      </c>
      <c r="I377" s="9">
        <f t="shared" ca="1" si="33"/>
        <v>471380.00000000006</v>
      </c>
      <c r="J377" s="22">
        <f ca="1">IF(Salary[[#This Row],[پایه حقوق]]&lt;=5600000,0,(Salary[[#This Row],[پایه حقوق]]-5600000)*0.1)</f>
        <v>113400</v>
      </c>
      <c r="K377" s="16">
        <f t="shared" ca="1" si="34"/>
        <v>6149220</v>
      </c>
    </row>
    <row r="378" spans="1:11">
      <c r="A378" s="1">
        <v>9988618</v>
      </c>
      <c r="B378" s="7">
        <f t="shared" ca="1" si="30"/>
        <v>97</v>
      </c>
      <c r="C378" s="7">
        <f>MATCH(Salary[[#This Row],[ماه]],Calc!$A$16:$A$27,0)</f>
        <v>7</v>
      </c>
      <c r="D378" s="8" t="s">
        <v>92</v>
      </c>
      <c r="E378" s="9">
        <f t="shared" ca="1" si="35"/>
        <v>13619000</v>
      </c>
      <c r="F378" s="9"/>
      <c r="G378" s="9">
        <f t="shared" ca="1" si="31"/>
        <v>13619000</v>
      </c>
      <c r="H378" s="9">
        <f t="shared" ca="1" si="32"/>
        <v>3132370</v>
      </c>
      <c r="I378" s="9">
        <f t="shared" ca="1" si="33"/>
        <v>953330.00000000012</v>
      </c>
      <c r="J378" s="22">
        <f ca="1">IF(Salary[[#This Row],[پایه حقوق]]&lt;=5600000,0,(Salary[[#This Row],[پایه حقوق]]-5600000)*0.1)</f>
        <v>801900</v>
      </c>
      <c r="K378" s="16">
        <f t="shared" ca="1" si="34"/>
        <v>11863770</v>
      </c>
    </row>
    <row r="379" spans="1:11">
      <c r="A379" s="1">
        <v>9988657</v>
      </c>
      <c r="B379" s="7">
        <f t="shared" ca="1" si="30"/>
        <v>72</v>
      </c>
      <c r="C379" s="7">
        <f>MATCH(Salary[[#This Row],[ماه]],Calc!$A$16:$A$27,0)</f>
        <v>7</v>
      </c>
      <c r="D379" s="8" t="s">
        <v>92</v>
      </c>
      <c r="E379" s="9">
        <f t="shared" ca="1" si="35"/>
        <v>4139000</v>
      </c>
      <c r="F379" s="9"/>
      <c r="G379" s="9">
        <f t="shared" ca="1" si="31"/>
        <v>4139000</v>
      </c>
      <c r="H379" s="9">
        <f t="shared" ca="1" si="32"/>
        <v>951970</v>
      </c>
      <c r="I379" s="9">
        <f t="shared" ca="1" si="33"/>
        <v>289730</v>
      </c>
      <c r="J379" s="22">
        <f ca="1">IF(Salary[[#This Row],[پایه حقوق]]&lt;=5600000,0,(Salary[[#This Row],[پایه حقوق]]-5600000)*0.1)</f>
        <v>0</v>
      </c>
      <c r="K379" s="16">
        <f t="shared" ca="1" si="34"/>
        <v>3849270</v>
      </c>
    </row>
    <row r="380" spans="1:11">
      <c r="A380" s="1">
        <v>9988677</v>
      </c>
      <c r="B380" s="7">
        <f t="shared" ca="1" si="30"/>
        <v>45</v>
      </c>
      <c r="C380" s="7">
        <f>MATCH(Salary[[#This Row],[ماه]],Calc!$A$16:$A$27,0)</f>
        <v>7</v>
      </c>
      <c r="D380" s="8" t="s">
        <v>92</v>
      </c>
      <c r="E380" s="9">
        <f t="shared" ca="1" si="35"/>
        <v>14696000</v>
      </c>
      <c r="F380" s="9"/>
      <c r="G380" s="9">
        <f t="shared" ca="1" si="31"/>
        <v>14696000</v>
      </c>
      <c r="H380" s="9">
        <f t="shared" ca="1" si="32"/>
        <v>3380080</v>
      </c>
      <c r="I380" s="9">
        <f t="shared" ca="1" si="33"/>
        <v>1028720.0000000001</v>
      </c>
      <c r="J380" s="22">
        <f ca="1">IF(Salary[[#This Row],[پایه حقوق]]&lt;=5600000,0,(Salary[[#This Row],[پایه حقوق]]-5600000)*0.1)</f>
        <v>909600</v>
      </c>
      <c r="K380" s="16">
        <f t="shared" ca="1" si="34"/>
        <v>12757680</v>
      </c>
    </row>
    <row r="381" spans="1:11">
      <c r="A381" s="1">
        <v>9988725</v>
      </c>
      <c r="B381" s="7">
        <f t="shared" ca="1" si="30"/>
        <v>38</v>
      </c>
      <c r="C381" s="7">
        <f>MATCH(Salary[[#This Row],[ماه]],Calc!$A$16:$A$27,0)</f>
        <v>7</v>
      </c>
      <c r="D381" s="8" t="s">
        <v>92</v>
      </c>
      <c r="E381" s="9">
        <f t="shared" ca="1" si="35"/>
        <v>8454000</v>
      </c>
      <c r="F381" s="9"/>
      <c r="G381" s="9">
        <f t="shared" ca="1" si="31"/>
        <v>8454000</v>
      </c>
      <c r="H381" s="9">
        <f t="shared" ca="1" si="32"/>
        <v>1944420</v>
      </c>
      <c r="I381" s="9">
        <f t="shared" ca="1" si="33"/>
        <v>591780</v>
      </c>
      <c r="J381" s="22">
        <f ca="1">IF(Salary[[#This Row],[پایه حقوق]]&lt;=5600000,0,(Salary[[#This Row],[پایه حقوق]]-5600000)*0.1)</f>
        <v>285400</v>
      </c>
      <c r="K381" s="16">
        <f t="shared" ca="1" si="34"/>
        <v>7576820</v>
      </c>
    </row>
    <row r="382" spans="1:11">
      <c r="A382" s="1">
        <v>9988773</v>
      </c>
      <c r="B382" s="7">
        <f t="shared" ca="1" si="30"/>
        <v>38</v>
      </c>
      <c r="C382" s="7">
        <f>MATCH(Salary[[#This Row],[ماه]],Calc!$A$16:$A$27,0)</f>
        <v>7</v>
      </c>
      <c r="D382" s="8" t="s">
        <v>92</v>
      </c>
      <c r="E382" s="9">
        <f t="shared" ca="1" si="35"/>
        <v>12464000</v>
      </c>
      <c r="F382" s="9"/>
      <c r="G382" s="9">
        <f t="shared" ca="1" si="31"/>
        <v>12464000</v>
      </c>
      <c r="H382" s="9">
        <f t="shared" ca="1" si="32"/>
        <v>2866720</v>
      </c>
      <c r="I382" s="9">
        <f t="shared" ca="1" si="33"/>
        <v>872480.00000000012</v>
      </c>
      <c r="J382" s="22">
        <f ca="1">IF(Salary[[#This Row],[پایه حقوق]]&lt;=5600000,0,(Salary[[#This Row],[پایه حقوق]]-5600000)*0.1)</f>
        <v>686400</v>
      </c>
      <c r="K382" s="16">
        <f t="shared" ca="1" si="34"/>
        <v>10905120</v>
      </c>
    </row>
    <row r="383" spans="1:11">
      <c r="A383" s="1">
        <v>9988821</v>
      </c>
      <c r="B383" s="7">
        <f t="shared" ca="1" si="30"/>
        <v>90</v>
      </c>
      <c r="C383" s="7">
        <f>MATCH(Salary[[#This Row],[ماه]],Calc!$A$16:$A$27,0)</f>
        <v>7</v>
      </c>
      <c r="D383" s="8" t="s">
        <v>92</v>
      </c>
      <c r="E383" s="9">
        <f t="shared" ca="1" si="35"/>
        <v>13843000</v>
      </c>
      <c r="F383" s="9"/>
      <c r="G383" s="9">
        <f t="shared" ca="1" si="31"/>
        <v>13843000</v>
      </c>
      <c r="H383" s="9">
        <f t="shared" ca="1" si="32"/>
        <v>3183890</v>
      </c>
      <c r="I383" s="9">
        <f t="shared" ca="1" si="33"/>
        <v>969010.00000000012</v>
      </c>
      <c r="J383" s="22">
        <f ca="1">IF(Salary[[#This Row],[پایه حقوق]]&lt;=5600000,0,(Salary[[#This Row],[پایه حقوق]]-5600000)*0.1)</f>
        <v>824300</v>
      </c>
      <c r="K383" s="16">
        <f t="shared" ca="1" si="34"/>
        <v>12049690</v>
      </c>
    </row>
    <row r="384" spans="1:11">
      <c r="A384" s="1">
        <v>9988869</v>
      </c>
      <c r="B384" s="7">
        <f t="shared" ca="1" si="30"/>
        <v>98</v>
      </c>
      <c r="C384" s="7">
        <f>MATCH(Salary[[#This Row],[ماه]],Calc!$A$16:$A$27,0)</f>
        <v>7</v>
      </c>
      <c r="D384" s="8" t="s">
        <v>92</v>
      </c>
      <c r="E384" s="9">
        <f t="shared" ca="1" si="35"/>
        <v>4526000</v>
      </c>
      <c r="F384" s="9"/>
      <c r="G384" s="9">
        <f t="shared" ca="1" si="31"/>
        <v>4526000</v>
      </c>
      <c r="H384" s="9">
        <f t="shared" ca="1" si="32"/>
        <v>1040980</v>
      </c>
      <c r="I384" s="9">
        <f t="shared" ca="1" si="33"/>
        <v>316820.00000000006</v>
      </c>
      <c r="J384" s="22">
        <f ca="1">IF(Salary[[#This Row],[پایه حقوق]]&lt;=5600000,0,(Salary[[#This Row],[پایه حقوق]]-5600000)*0.1)</f>
        <v>0</v>
      </c>
      <c r="K384" s="16">
        <f t="shared" ca="1" si="34"/>
        <v>4209180</v>
      </c>
    </row>
    <row r="385" spans="1:11">
      <c r="A385" s="1">
        <v>9988917</v>
      </c>
      <c r="B385" s="7">
        <f t="shared" ca="1" si="30"/>
        <v>67</v>
      </c>
      <c r="C385" s="7">
        <f>MATCH(Salary[[#This Row],[ماه]],Calc!$A$16:$A$27,0)</f>
        <v>7</v>
      </c>
      <c r="D385" s="8" t="s">
        <v>92</v>
      </c>
      <c r="E385" s="9">
        <f t="shared" ca="1" si="35"/>
        <v>10316000</v>
      </c>
      <c r="F385" s="9"/>
      <c r="G385" s="9">
        <f t="shared" ca="1" si="31"/>
        <v>10316000</v>
      </c>
      <c r="H385" s="9">
        <f t="shared" ca="1" si="32"/>
        <v>2372680</v>
      </c>
      <c r="I385" s="9">
        <f t="shared" ca="1" si="33"/>
        <v>722120.00000000012</v>
      </c>
      <c r="J385" s="22">
        <f ca="1">IF(Salary[[#This Row],[پایه حقوق]]&lt;=5600000,0,(Salary[[#This Row],[پایه حقوق]]-5600000)*0.1)</f>
        <v>471600</v>
      </c>
      <c r="K385" s="16">
        <f t="shared" ca="1" si="34"/>
        <v>9122280</v>
      </c>
    </row>
    <row r="386" spans="1:11">
      <c r="A386" s="1">
        <v>9988965</v>
      </c>
      <c r="B386" s="7">
        <f t="shared" ref="B386:B449" ca="1" si="36">RANDBETWEEN(30,100)</f>
        <v>96</v>
      </c>
      <c r="C386" s="7">
        <f>MATCH(Salary[[#This Row],[ماه]],Calc!$A$16:$A$27,0)</f>
        <v>7</v>
      </c>
      <c r="D386" s="8" t="s">
        <v>92</v>
      </c>
      <c r="E386" s="9">
        <f t="shared" ca="1" si="35"/>
        <v>14859000</v>
      </c>
      <c r="F386" s="9"/>
      <c r="G386" s="9">
        <f t="shared" ref="G386:G449" ca="1" si="37">E386+F386</f>
        <v>14859000</v>
      </c>
      <c r="H386" s="9">
        <f t="shared" ref="H386:H449" ca="1" si="38">0.23*E386</f>
        <v>3417570</v>
      </c>
      <c r="I386" s="9">
        <f t="shared" ref="I386:I449" ca="1" si="39">0.07*E386</f>
        <v>1040130.0000000001</v>
      </c>
      <c r="J386" s="22">
        <f ca="1">IF(Salary[[#This Row],[پایه حقوق]]&lt;=5600000,0,(Salary[[#This Row],[پایه حقوق]]-5600000)*0.1)</f>
        <v>925900</v>
      </c>
      <c r="K386" s="16">
        <f t="shared" ref="K386:K449" ca="1" si="40">G386-I386-J386</f>
        <v>12892970</v>
      </c>
    </row>
    <row r="387" spans="1:11">
      <c r="A387" s="1">
        <v>9989013</v>
      </c>
      <c r="B387" s="7">
        <f t="shared" ca="1" si="36"/>
        <v>47</v>
      </c>
      <c r="C387" s="7">
        <f>MATCH(Salary[[#This Row],[ماه]],Calc!$A$16:$A$27,0)</f>
        <v>7</v>
      </c>
      <c r="D387" s="8" t="s">
        <v>92</v>
      </c>
      <c r="E387" s="9">
        <f t="shared" ref="E387:E450" ca="1" si="41">RANDBETWEEN(3000,15000)*1000</f>
        <v>14522000</v>
      </c>
      <c r="F387" s="9"/>
      <c r="G387" s="9">
        <f t="shared" ca="1" si="37"/>
        <v>14522000</v>
      </c>
      <c r="H387" s="9">
        <f t="shared" ca="1" si="38"/>
        <v>3340060</v>
      </c>
      <c r="I387" s="9">
        <f t="shared" ca="1" si="39"/>
        <v>1016540.0000000001</v>
      </c>
      <c r="J387" s="22">
        <f ca="1">IF(Salary[[#This Row],[پایه حقوق]]&lt;=5600000,0,(Salary[[#This Row],[پایه حقوق]]-5600000)*0.1)</f>
        <v>892200</v>
      </c>
      <c r="K387" s="16">
        <f t="shared" ca="1" si="40"/>
        <v>12613260</v>
      </c>
    </row>
    <row r="388" spans="1:11">
      <c r="A388" s="1">
        <v>9989061</v>
      </c>
      <c r="B388" s="7">
        <f t="shared" ca="1" si="36"/>
        <v>62</v>
      </c>
      <c r="C388" s="7">
        <f>MATCH(Salary[[#This Row],[ماه]],Calc!$A$16:$A$27,0)</f>
        <v>7</v>
      </c>
      <c r="D388" s="8" t="s">
        <v>92</v>
      </c>
      <c r="E388" s="9">
        <f t="shared" ca="1" si="41"/>
        <v>11345000</v>
      </c>
      <c r="F388" s="9"/>
      <c r="G388" s="9">
        <f t="shared" ca="1" si="37"/>
        <v>11345000</v>
      </c>
      <c r="H388" s="9">
        <f t="shared" ca="1" si="38"/>
        <v>2609350</v>
      </c>
      <c r="I388" s="9">
        <f t="shared" ca="1" si="39"/>
        <v>794150.00000000012</v>
      </c>
      <c r="J388" s="22">
        <f ca="1">IF(Salary[[#This Row],[پایه حقوق]]&lt;=5600000,0,(Salary[[#This Row],[پایه حقوق]]-5600000)*0.1)</f>
        <v>574500</v>
      </c>
      <c r="K388" s="16">
        <f t="shared" ca="1" si="40"/>
        <v>9976350</v>
      </c>
    </row>
    <row r="389" spans="1:11">
      <c r="A389" s="1">
        <v>9989109</v>
      </c>
      <c r="B389" s="7">
        <f t="shared" ca="1" si="36"/>
        <v>100</v>
      </c>
      <c r="C389" s="7">
        <f>MATCH(Salary[[#This Row],[ماه]],Calc!$A$16:$A$27,0)</f>
        <v>7</v>
      </c>
      <c r="D389" s="8" t="s">
        <v>92</v>
      </c>
      <c r="E389" s="9">
        <f t="shared" ca="1" si="41"/>
        <v>11125000</v>
      </c>
      <c r="F389" s="9"/>
      <c r="G389" s="9">
        <f t="shared" ca="1" si="37"/>
        <v>11125000</v>
      </c>
      <c r="H389" s="9">
        <f t="shared" ca="1" si="38"/>
        <v>2558750</v>
      </c>
      <c r="I389" s="9">
        <f t="shared" ca="1" si="39"/>
        <v>778750.00000000012</v>
      </c>
      <c r="J389" s="22">
        <f ca="1">IF(Salary[[#This Row],[پایه حقوق]]&lt;=5600000,0,(Salary[[#This Row],[پایه حقوق]]-5600000)*0.1)</f>
        <v>552500</v>
      </c>
      <c r="K389" s="16">
        <f t="shared" ca="1" si="40"/>
        <v>9793750</v>
      </c>
    </row>
    <row r="390" spans="1:11">
      <c r="A390" s="1">
        <v>9989157</v>
      </c>
      <c r="B390" s="7">
        <f t="shared" ca="1" si="36"/>
        <v>83</v>
      </c>
      <c r="C390" s="7">
        <f>MATCH(Salary[[#This Row],[ماه]],Calc!$A$16:$A$27,0)</f>
        <v>7</v>
      </c>
      <c r="D390" s="8" t="s">
        <v>92</v>
      </c>
      <c r="E390" s="9">
        <f t="shared" ca="1" si="41"/>
        <v>10624000</v>
      </c>
      <c r="F390" s="9"/>
      <c r="G390" s="9">
        <f t="shared" ca="1" si="37"/>
        <v>10624000</v>
      </c>
      <c r="H390" s="9">
        <f t="shared" ca="1" si="38"/>
        <v>2443520</v>
      </c>
      <c r="I390" s="9">
        <f t="shared" ca="1" si="39"/>
        <v>743680.00000000012</v>
      </c>
      <c r="J390" s="22">
        <f ca="1">IF(Salary[[#This Row],[پایه حقوق]]&lt;=5600000,0,(Salary[[#This Row],[پایه حقوق]]-5600000)*0.1)</f>
        <v>502400</v>
      </c>
      <c r="K390" s="16">
        <f t="shared" ca="1" si="40"/>
        <v>9377920</v>
      </c>
    </row>
    <row r="391" spans="1:11">
      <c r="A391" s="1">
        <v>9989205</v>
      </c>
      <c r="B391" s="7">
        <f t="shared" ca="1" si="36"/>
        <v>88</v>
      </c>
      <c r="C391" s="7">
        <f>MATCH(Salary[[#This Row],[ماه]],Calc!$A$16:$A$27,0)</f>
        <v>7</v>
      </c>
      <c r="D391" s="8" t="s">
        <v>92</v>
      </c>
      <c r="E391" s="9">
        <f t="shared" ca="1" si="41"/>
        <v>11359000</v>
      </c>
      <c r="F391" s="9"/>
      <c r="G391" s="9">
        <f t="shared" ca="1" si="37"/>
        <v>11359000</v>
      </c>
      <c r="H391" s="9">
        <f t="shared" ca="1" si="38"/>
        <v>2612570</v>
      </c>
      <c r="I391" s="9">
        <f t="shared" ca="1" si="39"/>
        <v>795130.00000000012</v>
      </c>
      <c r="J391" s="22">
        <f ca="1">IF(Salary[[#This Row],[پایه حقوق]]&lt;=5600000,0,(Salary[[#This Row],[پایه حقوق]]-5600000)*0.1)</f>
        <v>575900</v>
      </c>
      <c r="K391" s="16">
        <f t="shared" ca="1" si="40"/>
        <v>9987970</v>
      </c>
    </row>
    <row r="392" spans="1:11">
      <c r="A392" s="1">
        <v>9989253</v>
      </c>
      <c r="B392" s="7">
        <f t="shared" ca="1" si="36"/>
        <v>30</v>
      </c>
      <c r="C392" s="7">
        <f>MATCH(Salary[[#This Row],[ماه]],Calc!$A$16:$A$27,0)</f>
        <v>7</v>
      </c>
      <c r="D392" s="8" t="s">
        <v>92</v>
      </c>
      <c r="E392" s="9">
        <f t="shared" ca="1" si="41"/>
        <v>7421000</v>
      </c>
      <c r="F392" s="9"/>
      <c r="G392" s="9">
        <f t="shared" ca="1" si="37"/>
        <v>7421000</v>
      </c>
      <c r="H392" s="9">
        <f t="shared" ca="1" si="38"/>
        <v>1706830</v>
      </c>
      <c r="I392" s="9">
        <f t="shared" ca="1" si="39"/>
        <v>519470.00000000006</v>
      </c>
      <c r="J392" s="22">
        <f ca="1">IF(Salary[[#This Row],[پایه حقوق]]&lt;=5600000,0,(Salary[[#This Row],[پایه حقوق]]-5600000)*0.1)</f>
        <v>182100</v>
      </c>
      <c r="K392" s="16">
        <f t="shared" ca="1" si="40"/>
        <v>6719430</v>
      </c>
    </row>
    <row r="393" spans="1:11">
      <c r="A393" s="1">
        <v>9989301</v>
      </c>
      <c r="B393" s="7">
        <f t="shared" ca="1" si="36"/>
        <v>74</v>
      </c>
      <c r="C393" s="7">
        <f>MATCH(Salary[[#This Row],[ماه]],Calc!$A$16:$A$27,0)</f>
        <v>7</v>
      </c>
      <c r="D393" s="8" t="s">
        <v>92</v>
      </c>
      <c r="E393" s="9">
        <f t="shared" ca="1" si="41"/>
        <v>9403000</v>
      </c>
      <c r="F393" s="9"/>
      <c r="G393" s="9">
        <f t="shared" ca="1" si="37"/>
        <v>9403000</v>
      </c>
      <c r="H393" s="9">
        <f t="shared" ca="1" si="38"/>
        <v>2162690</v>
      </c>
      <c r="I393" s="9">
        <f t="shared" ca="1" si="39"/>
        <v>658210.00000000012</v>
      </c>
      <c r="J393" s="22">
        <f ca="1">IF(Salary[[#This Row],[پایه حقوق]]&lt;=5600000,0,(Salary[[#This Row],[پایه حقوق]]-5600000)*0.1)</f>
        <v>380300</v>
      </c>
      <c r="K393" s="16">
        <f t="shared" ca="1" si="40"/>
        <v>8364490</v>
      </c>
    </row>
    <row r="394" spans="1:11">
      <c r="A394" s="1">
        <v>9989349</v>
      </c>
      <c r="B394" s="7">
        <f t="shared" ca="1" si="36"/>
        <v>33</v>
      </c>
      <c r="C394" s="7">
        <f>MATCH(Salary[[#This Row],[ماه]],Calc!$A$16:$A$27,0)</f>
        <v>7</v>
      </c>
      <c r="D394" s="8" t="s">
        <v>92</v>
      </c>
      <c r="E394" s="9">
        <f t="shared" ca="1" si="41"/>
        <v>12159000</v>
      </c>
      <c r="F394" s="9"/>
      <c r="G394" s="9">
        <f t="shared" ca="1" si="37"/>
        <v>12159000</v>
      </c>
      <c r="H394" s="9">
        <f t="shared" ca="1" si="38"/>
        <v>2796570</v>
      </c>
      <c r="I394" s="9">
        <f t="shared" ca="1" si="39"/>
        <v>851130.00000000012</v>
      </c>
      <c r="J394" s="22">
        <f ca="1">IF(Salary[[#This Row],[پایه حقوق]]&lt;=5600000,0,(Salary[[#This Row],[پایه حقوق]]-5600000)*0.1)</f>
        <v>655900</v>
      </c>
      <c r="K394" s="16">
        <f t="shared" ca="1" si="40"/>
        <v>10651970</v>
      </c>
    </row>
    <row r="395" spans="1:11">
      <c r="A395" s="1">
        <v>9989397</v>
      </c>
      <c r="B395" s="7">
        <f t="shared" ca="1" si="36"/>
        <v>60</v>
      </c>
      <c r="C395" s="7">
        <f>MATCH(Salary[[#This Row],[ماه]],Calc!$A$16:$A$27,0)</f>
        <v>7</v>
      </c>
      <c r="D395" s="8" t="s">
        <v>92</v>
      </c>
      <c r="E395" s="9">
        <f t="shared" ca="1" si="41"/>
        <v>12870000</v>
      </c>
      <c r="F395" s="9"/>
      <c r="G395" s="9">
        <f t="shared" ca="1" si="37"/>
        <v>12870000</v>
      </c>
      <c r="H395" s="9">
        <f t="shared" ca="1" si="38"/>
        <v>2960100</v>
      </c>
      <c r="I395" s="9">
        <f t="shared" ca="1" si="39"/>
        <v>900900.00000000012</v>
      </c>
      <c r="J395" s="22">
        <f ca="1">IF(Salary[[#This Row],[پایه حقوق]]&lt;=5600000,0,(Salary[[#This Row],[پایه حقوق]]-5600000)*0.1)</f>
        <v>727000</v>
      </c>
      <c r="K395" s="16">
        <f t="shared" ca="1" si="40"/>
        <v>11242100</v>
      </c>
    </row>
    <row r="396" spans="1:11">
      <c r="A396" s="1">
        <v>9989445</v>
      </c>
      <c r="B396" s="7">
        <f t="shared" ca="1" si="36"/>
        <v>93</v>
      </c>
      <c r="C396" s="7">
        <f>MATCH(Salary[[#This Row],[ماه]],Calc!$A$16:$A$27,0)</f>
        <v>7</v>
      </c>
      <c r="D396" s="8" t="s">
        <v>92</v>
      </c>
      <c r="E396" s="9">
        <f t="shared" ca="1" si="41"/>
        <v>9910000</v>
      </c>
      <c r="F396" s="9"/>
      <c r="G396" s="9">
        <f t="shared" ca="1" si="37"/>
        <v>9910000</v>
      </c>
      <c r="H396" s="9">
        <f t="shared" ca="1" si="38"/>
        <v>2279300</v>
      </c>
      <c r="I396" s="9">
        <f t="shared" ca="1" si="39"/>
        <v>693700.00000000012</v>
      </c>
      <c r="J396" s="22">
        <f ca="1">IF(Salary[[#This Row],[پایه حقوق]]&lt;=5600000,0,(Salary[[#This Row],[پایه حقوق]]-5600000)*0.1)</f>
        <v>431000</v>
      </c>
      <c r="K396" s="16">
        <f t="shared" ca="1" si="40"/>
        <v>8785300</v>
      </c>
    </row>
    <row r="397" spans="1:11">
      <c r="A397" s="1">
        <v>9989493</v>
      </c>
      <c r="B397" s="7">
        <f t="shared" ca="1" si="36"/>
        <v>65</v>
      </c>
      <c r="C397" s="7">
        <f>MATCH(Salary[[#This Row],[ماه]],Calc!$A$16:$A$27,0)</f>
        <v>7</v>
      </c>
      <c r="D397" s="8" t="s">
        <v>92</v>
      </c>
      <c r="E397" s="9">
        <f t="shared" ca="1" si="41"/>
        <v>8194000</v>
      </c>
      <c r="F397" s="9"/>
      <c r="G397" s="9">
        <f t="shared" ca="1" si="37"/>
        <v>8194000</v>
      </c>
      <c r="H397" s="9">
        <f t="shared" ca="1" si="38"/>
        <v>1884620</v>
      </c>
      <c r="I397" s="9">
        <f t="shared" ca="1" si="39"/>
        <v>573580</v>
      </c>
      <c r="J397" s="22">
        <f ca="1">IF(Salary[[#This Row],[پایه حقوق]]&lt;=5600000,0,(Salary[[#This Row],[پایه حقوق]]-5600000)*0.1)</f>
        <v>259400</v>
      </c>
      <c r="K397" s="16">
        <f t="shared" ca="1" si="40"/>
        <v>7361020</v>
      </c>
    </row>
    <row r="398" spans="1:11">
      <c r="A398" s="1">
        <v>9989541</v>
      </c>
      <c r="B398" s="7">
        <f t="shared" ca="1" si="36"/>
        <v>84</v>
      </c>
      <c r="C398" s="7">
        <f>MATCH(Salary[[#This Row],[ماه]],Calc!$A$16:$A$27,0)</f>
        <v>7</v>
      </c>
      <c r="D398" s="8" t="s">
        <v>92</v>
      </c>
      <c r="E398" s="9">
        <f t="shared" ca="1" si="41"/>
        <v>4017000</v>
      </c>
      <c r="F398" s="9"/>
      <c r="G398" s="9">
        <f t="shared" ca="1" si="37"/>
        <v>4017000</v>
      </c>
      <c r="H398" s="9">
        <f t="shared" ca="1" si="38"/>
        <v>923910</v>
      </c>
      <c r="I398" s="9">
        <f t="shared" ca="1" si="39"/>
        <v>281190</v>
      </c>
      <c r="J398" s="22">
        <f ca="1">IF(Salary[[#This Row],[پایه حقوق]]&lt;=5600000,0,(Salary[[#This Row],[پایه حقوق]]-5600000)*0.1)</f>
        <v>0</v>
      </c>
      <c r="K398" s="16">
        <f t="shared" ca="1" si="40"/>
        <v>3735810</v>
      </c>
    </row>
    <row r="399" spans="1:11">
      <c r="A399" s="1">
        <v>9989589</v>
      </c>
      <c r="B399" s="7">
        <f t="shared" ca="1" si="36"/>
        <v>79</v>
      </c>
      <c r="C399" s="7">
        <f>MATCH(Salary[[#This Row],[ماه]],Calc!$A$16:$A$27,0)</f>
        <v>7</v>
      </c>
      <c r="D399" s="8" t="s">
        <v>92</v>
      </c>
      <c r="E399" s="9">
        <f t="shared" ca="1" si="41"/>
        <v>14085000</v>
      </c>
      <c r="F399" s="9"/>
      <c r="G399" s="9">
        <f t="shared" ca="1" si="37"/>
        <v>14085000</v>
      </c>
      <c r="H399" s="9">
        <f t="shared" ca="1" si="38"/>
        <v>3239550</v>
      </c>
      <c r="I399" s="9">
        <f t="shared" ca="1" si="39"/>
        <v>985950.00000000012</v>
      </c>
      <c r="J399" s="22">
        <f ca="1">IF(Salary[[#This Row],[پایه حقوق]]&lt;=5600000,0,(Salary[[#This Row],[پایه حقوق]]-5600000)*0.1)</f>
        <v>848500</v>
      </c>
      <c r="K399" s="16">
        <f t="shared" ca="1" si="40"/>
        <v>12250550</v>
      </c>
    </row>
    <row r="400" spans="1:11">
      <c r="A400" s="1">
        <v>9989637</v>
      </c>
      <c r="B400" s="7">
        <f t="shared" ca="1" si="36"/>
        <v>65</v>
      </c>
      <c r="C400" s="7">
        <f>MATCH(Salary[[#This Row],[ماه]],Calc!$A$16:$A$27,0)</f>
        <v>7</v>
      </c>
      <c r="D400" s="8" t="s">
        <v>92</v>
      </c>
      <c r="E400" s="9">
        <f t="shared" ca="1" si="41"/>
        <v>14895000</v>
      </c>
      <c r="F400" s="9"/>
      <c r="G400" s="9">
        <f t="shared" ca="1" si="37"/>
        <v>14895000</v>
      </c>
      <c r="H400" s="9">
        <f t="shared" ca="1" si="38"/>
        <v>3425850</v>
      </c>
      <c r="I400" s="9">
        <f t="shared" ca="1" si="39"/>
        <v>1042650.0000000001</v>
      </c>
      <c r="J400" s="22">
        <f ca="1">IF(Salary[[#This Row],[پایه حقوق]]&lt;=5600000,0,(Salary[[#This Row],[پایه حقوق]]-5600000)*0.1)</f>
        <v>929500</v>
      </c>
      <c r="K400" s="16">
        <f t="shared" ca="1" si="40"/>
        <v>12922850</v>
      </c>
    </row>
    <row r="401" spans="1:11">
      <c r="A401" s="1">
        <v>9989685</v>
      </c>
      <c r="B401" s="7">
        <f t="shared" ca="1" si="36"/>
        <v>36</v>
      </c>
      <c r="C401" s="7">
        <f>MATCH(Salary[[#This Row],[ماه]],Calc!$A$16:$A$27,0)</f>
        <v>7</v>
      </c>
      <c r="D401" s="8" t="s">
        <v>92</v>
      </c>
      <c r="E401" s="9">
        <f t="shared" ca="1" si="41"/>
        <v>8476000</v>
      </c>
      <c r="F401" s="9"/>
      <c r="G401" s="9">
        <f t="shared" ca="1" si="37"/>
        <v>8476000</v>
      </c>
      <c r="H401" s="9">
        <f t="shared" ca="1" si="38"/>
        <v>1949480</v>
      </c>
      <c r="I401" s="9">
        <f t="shared" ca="1" si="39"/>
        <v>593320</v>
      </c>
      <c r="J401" s="22">
        <f ca="1">IF(Salary[[#This Row],[پایه حقوق]]&lt;=5600000,0,(Salary[[#This Row],[پایه حقوق]]-5600000)*0.1)</f>
        <v>287600</v>
      </c>
      <c r="K401" s="16">
        <f t="shared" ca="1" si="40"/>
        <v>7595080</v>
      </c>
    </row>
    <row r="402" spans="1:11">
      <c r="A402" s="1">
        <v>9989733</v>
      </c>
      <c r="B402" s="7">
        <f t="shared" ca="1" si="36"/>
        <v>44</v>
      </c>
      <c r="C402" s="7">
        <f>MATCH(Salary[[#This Row],[ماه]],Calc!$A$16:$A$27,0)</f>
        <v>7</v>
      </c>
      <c r="D402" s="8" t="s">
        <v>92</v>
      </c>
      <c r="E402" s="9">
        <f t="shared" ca="1" si="41"/>
        <v>13499000</v>
      </c>
      <c r="F402" s="9"/>
      <c r="G402" s="9">
        <f t="shared" ca="1" si="37"/>
        <v>13499000</v>
      </c>
      <c r="H402" s="9">
        <f t="shared" ca="1" si="38"/>
        <v>3104770</v>
      </c>
      <c r="I402" s="9">
        <f t="shared" ca="1" si="39"/>
        <v>944930.00000000012</v>
      </c>
      <c r="J402" s="22">
        <f ca="1">IF(Salary[[#This Row],[پایه حقوق]]&lt;=5600000,0,(Salary[[#This Row],[پایه حقوق]]-5600000)*0.1)</f>
        <v>789900</v>
      </c>
      <c r="K402" s="16">
        <f t="shared" ca="1" si="40"/>
        <v>11764170</v>
      </c>
    </row>
    <row r="403" spans="1:11">
      <c r="A403" s="1">
        <v>9989781</v>
      </c>
      <c r="B403" s="7">
        <f t="shared" ca="1" si="36"/>
        <v>64</v>
      </c>
      <c r="C403" s="7">
        <f>MATCH(Salary[[#This Row],[ماه]],Calc!$A$16:$A$27,0)</f>
        <v>7</v>
      </c>
      <c r="D403" s="8" t="s">
        <v>92</v>
      </c>
      <c r="E403" s="9">
        <f t="shared" ca="1" si="41"/>
        <v>12469000</v>
      </c>
      <c r="F403" s="9"/>
      <c r="G403" s="9">
        <f t="shared" ca="1" si="37"/>
        <v>12469000</v>
      </c>
      <c r="H403" s="9">
        <f t="shared" ca="1" si="38"/>
        <v>2867870</v>
      </c>
      <c r="I403" s="9">
        <f t="shared" ca="1" si="39"/>
        <v>872830.00000000012</v>
      </c>
      <c r="J403" s="22">
        <f ca="1">IF(Salary[[#This Row],[پایه حقوق]]&lt;=5600000,0,(Salary[[#This Row],[پایه حقوق]]-5600000)*0.1)</f>
        <v>686900</v>
      </c>
      <c r="K403" s="16">
        <f t="shared" ca="1" si="40"/>
        <v>10909270</v>
      </c>
    </row>
    <row r="404" spans="1:11">
      <c r="A404" s="1">
        <v>9989829</v>
      </c>
      <c r="B404" s="7">
        <f t="shared" ca="1" si="36"/>
        <v>38</v>
      </c>
      <c r="C404" s="7">
        <f>MATCH(Salary[[#This Row],[ماه]],Calc!$A$16:$A$27,0)</f>
        <v>7</v>
      </c>
      <c r="D404" s="8" t="s">
        <v>92</v>
      </c>
      <c r="E404" s="9">
        <f t="shared" ca="1" si="41"/>
        <v>5310000</v>
      </c>
      <c r="F404" s="9"/>
      <c r="G404" s="9">
        <f t="shared" ca="1" si="37"/>
        <v>5310000</v>
      </c>
      <c r="H404" s="9">
        <f t="shared" ca="1" si="38"/>
        <v>1221300</v>
      </c>
      <c r="I404" s="9">
        <f t="shared" ca="1" si="39"/>
        <v>371700.00000000006</v>
      </c>
      <c r="J404" s="22">
        <f ca="1">IF(Salary[[#This Row],[پایه حقوق]]&lt;=5600000,0,(Salary[[#This Row],[پایه حقوق]]-5600000)*0.1)</f>
        <v>0</v>
      </c>
      <c r="K404" s="16">
        <f t="shared" ca="1" si="40"/>
        <v>4938300</v>
      </c>
    </row>
    <row r="405" spans="1:11">
      <c r="A405" s="1">
        <v>9989877</v>
      </c>
      <c r="B405" s="7">
        <f t="shared" ca="1" si="36"/>
        <v>35</v>
      </c>
      <c r="C405" s="7">
        <f>MATCH(Salary[[#This Row],[ماه]],Calc!$A$16:$A$27,0)</f>
        <v>7</v>
      </c>
      <c r="D405" s="8" t="s">
        <v>92</v>
      </c>
      <c r="E405" s="9">
        <f t="shared" ca="1" si="41"/>
        <v>11240000</v>
      </c>
      <c r="F405" s="9"/>
      <c r="G405" s="9">
        <f t="shared" ca="1" si="37"/>
        <v>11240000</v>
      </c>
      <c r="H405" s="9">
        <f t="shared" ca="1" si="38"/>
        <v>2585200</v>
      </c>
      <c r="I405" s="9">
        <f t="shared" ca="1" si="39"/>
        <v>786800.00000000012</v>
      </c>
      <c r="J405" s="22">
        <f ca="1">IF(Salary[[#This Row],[پایه حقوق]]&lt;=5600000,0,(Salary[[#This Row],[پایه حقوق]]-5600000)*0.1)</f>
        <v>564000</v>
      </c>
      <c r="K405" s="16">
        <f t="shared" ca="1" si="40"/>
        <v>9889200</v>
      </c>
    </row>
    <row r="406" spans="1:11">
      <c r="A406" s="1">
        <v>9989925</v>
      </c>
      <c r="B406" s="7">
        <f t="shared" ca="1" si="36"/>
        <v>53</v>
      </c>
      <c r="C406" s="7">
        <f>MATCH(Salary[[#This Row],[ماه]],Calc!$A$16:$A$27,0)</f>
        <v>7</v>
      </c>
      <c r="D406" s="8" t="s">
        <v>92</v>
      </c>
      <c r="E406" s="9">
        <f t="shared" ca="1" si="41"/>
        <v>9323000</v>
      </c>
      <c r="F406" s="9"/>
      <c r="G406" s="9">
        <f t="shared" ca="1" si="37"/>
        <v>9323000</v>
      </c>
      <c r="H406" s="9">
        <f t="shared" ca="1" si="38"/>
        <v>2144290</v>
      </c>
      <c r="I406" s="9">
        <f t="shared" ca="1" si="39"/>
        <v>652610.00000000012</v>
      </c>
      <c r="J406" s="22">
        <f ca="1">IF(Salary[[#This Row],[پایه حقوق]]&lt;=5600000,0,(Salary[[#This Row],[پایه حقوق]]-5600000)*0.1)</f>
        <v>372300</v>
      </c>
      <c r="K406" s="16">
        <f t="shared" ca="1" si="40"/>
        <v>8298090</v>
      </c>
    </row>
    <row r="407" spans="1:11">
      <c r="A407" s="1">
        <v>9989973</v>
      </c>
      <c r="B407" s="7">
        <f t="shared" ca="1" si="36"/>
        <v>73</v>
      </c>
      <c r="C407" s="7">
        <f>MATCH(Salary[[#This Row],[ماه]],Calc!$A$16:$A$27,0)</f>
        <v>7</v>
      </c>
      <c r="D407" s="8" t="s">
        <v>92</v>
      </c>
      <c r="E407" s="9">
        <f t="shared" ca="1" si="41"/>
        <v>9071000</v>
      </c>
      <c r="F407" s="9"/>
      <c r="G407" s="9">
        <f t="shared" ca="1" si="37"/>
        <v>9071000</v>
      </c>
      <c r="H407" s="9">
        <f t="shared" ca="1" si="38"/>
        <v>2086330</v>
      </c>
      <c r="I407" s="9">
        <f t="shared" ca="1" si="39"/>
        <v>634970.00000000012</v>
      </c>
      <c r="J407" s="22">
        <f ca="1">IF(Salary[[#This Row],[پایه حقوق]]&lt;=5600000,0,(Salary[[#This Row],[پایه حقوق]]-5600000)*0.1)</f>
        <v>347100</v>
      </c>
      <c r="K407" s="16">
        <f t="shared" ca="1" si="40"/>
        <v>8088930</v>
      </c>
    </row>
    <row r="408" spans="1:11">
      <c r="A408" s="1">
        <v>9990021</v>
      </c>
      <c r="B408" s="7">
        <f t="shared" ca="1" si="36"/>
        <v>49</v>
      </c>
      <c r="C408" s="7">
        <f>MATCH(Salary[[#This Row],[ماه]],Calc!$A$16:$A$27,0)</f>
        <v>7</v>
      </c>
      <c r="D408" s="8" t="s">
        <v>92</v>
      </c>
      <c r="E408" s="9">
        <f t="shared" ca="1" si="41"/>
        <v>11634000</v>
      </c>
      <c r="F408" s="9"/>
      <c r="G408" s="9">
        <f t="shared" ca="1" si="37"/>
        <v>11634000</v>
      </c>
      <c r="H408" s="9">
        <f t="shared" ca="1" si="38"/>
        <v>2675820</v>
      </c>
      <c r="I408" s="9">
        <f t="shared" ca="1" si="39"/>
        <v>814380.00000000012</v>
      </c>
      <c r="J408" s="22">
        <f ca="1">IF(Salary[[#This Row],[پایه حقوق]]&lt;=5600000,0,(Salary[[#This Row],[پایه حقوق]]-5600000)*0.1)</f>
        <v>603400</v>
      </c>
      <c r="K408" s="16">
        <f t="shared" ca="1" si="40"/>
        <v>10216220</v>
      </c>
    </row>
    <row r="409" spans="1:11">
      <c r="A409" s="1">
        <v>9990069</v>
      </c>
      <c r="B409" s="7">
        <f t="shared" ca="1" si="36"/>
        <v>59</v>
      </c>
      <c r="C409" s="7">
        <f>MATCH(Salary[[#This Row],[ماه]],Calc!$A$16:$A$27,0)</f>
        <v>7</v>
      </c>
      <c r="D409" s="8" t="s">
        <v>92</v>
      </c>
      <c r="E409" s="9">
        <f t="shared" ca="1" si="41"/>
        <v>4354000</v>
      </c>
      <c r="F409" s="9"/>
      <c r="G409" s="9">
        <f t="shared" ca="1" si="37"/>
        <v>4354000</v>
      </c>
      <c r="H409" s="9">
        <f t="shared" ca="1" si="38"/>
        <v>1001420</v>
      </c>
      <c r="I409" s="9">
        <f t="shared" ca="1" si="39"/>
        <v>304780</v>
      </c>
      <c r="J409" s="22">
        <f ca="1">IF(Salary[[#This Row],[پایه حقوق]]&lt;=5600000,0,(Salary[[#This Row],[پایه حقوق]]-5600000)*0.1)</f>
        <v>0</v>
      </c>
      <c r="K409" s="16">
        <f t="shared" ca="1" si="40"/>
        <v>4049220</v>
      </c>
    </row>
    <row r="410" spans="1:11">
      <c r="A410" s="1">
        <v>9990117</v>
      </c>
      <c r="B410" s="7">
        <f t="shared" ca="1" si="36"/>
        <v>47</v>
      </c>
      <c r="C410" s="7">
        <f>MATCH(Salary[[#This Row],[ماه]],Calc!$A$16:$A$27,0)</f>
        <v>7</v>
      </c>
      <c r="D410" s="8" t="s">
        <v>92</v>
      </c>
      <c r="E410" s="9">
        <f t="shared" ca="1" si="41"/>
        <v>9043000</v>
      </c>
      <c r="F410" s="9"/>
      <c r="G410" s="9">
        <f t="shared" ca="1" si="37"/>
        <v>9043000</v>
      </c>
      <c r="H410" s="9">
        <f t="shared" ca="1" si="38"/>
        <v>2079890</v>
      </c>
      <c r="I410" s="9">
        <f t="shared" ca="1" si="39"/>
        <v>633010.00000000012</v>
      </c>
      <c r="J410" s="22">
        <f ca="1">IF(Salary[[#This Row],[پایه حقوق]]&lt;=5600000,0,(Salary[[#This Row],[پایه حقوق]]-5600000)*0.1)</f>
        <v>344300</v>
      </c>
      <c r="K410" s="16">
        <f t="shared" ca="1" si="40"/>
        <v>8065690</v>
      </c>
    </row>
    <row r="411" spans="1:11">
      <c r="A411" s="1">
        <v>9990165</v>
      </c>
      <c r="B411" s="7">
        <f t="shared" ca="1" si="36"/>
        <v>62</v>
      </c>
      <c r="C411" s="7">
        <f>MATCH(Salary[[#This Row],[ماه]],Calc!$A$16:$A$27,0)</f>
        <v>7</v>
      </c>
      <c r="D411" s="8" t="s">
        <v>92</v>
      </c>
      <c r="E411" s="9">
        <f t="shared" ca="1" si="41"/>
        <v>6821000</v>
      </c>
      <c r="F411" s="9"/>
      <c r="G411" s="9">
        <f t="shared" ca="1" si="37"/>
        <v>6821000</v>
      </c>
      <c r="H411" s="9">
        <f t="shared" ca="1" si="38"/>
        <v>1568830</v>
      </c>
      <c r="I411" s="9">
        <f t="shared" ca="1" si="39"/>
        <v>477470.00000000006</v>
      </c>
      <c r="J411" s="22">
        <f ca="1">IF(Salary[[#This Row],[پایه حقوق]]&lt;=5600000,0,(Salary[[#This Row],[پایه حقوق]]-5600000)*0.1)</f>
        <v>122100</v>
      </c>
      <c r="K411" s="16">
        <f t="shared" ca="1" si="40"/>
        <v>6221430</v>
      </c>
    </row>
    <row r="412" spans="1:11">
      <c r="A412" s="1">
        <v>9990213</v>
      </c>
      <c r="B412" s="7">
        <f t="shared" ca="1" si="36"/>
        <v>73</v>
      </c>
      <c r="C412" s="7">
        <f>MATCH(Salary[[#This Row],[ماه]],Calc!$A$16:$A$27,0)</f>
        <v>7</v>
      </c>
      <c r="D412" s="8" t="s">
        <v>92</v>
      </c>
      <c r="E412" s="9">
        <f t="shared" ca="1" si="41"/>
        <v>5520000</v>
      </c>
      <c r="F412" s="9"/>
      <c r="G412" s="9">
        <f t="shared" ca="1" si="37"/>
        <v>5520000</v>
      </c>
      <c r="H412" s="9">
        <f t="shared" ca="1" si="38"/>
        <v>1269600</v>
      </c>
      <c r="I412" s="9">
        <f t="shared" ca="1" si="39"/>
        <v>386400.00000000006</v>
      </c>
      <c r="J412" s="22">
        <f ca="1">IF(Salary[[#This Row],[پایه حقوق]]&lt;=5600000,0,(Salary[[#This Row],[پایه حقوق]]-5600000)*0.1)</f>
        <v>0</v>
      </c>
      <c r="K412" s="16">
        <f t="shared" ca="1" si="40"/>
        <v>5133600</v>
      </c>
    </row>
    <row r="413" spans="1:11">
      <c r="A413" s="1">
        <v>9990261</v>
      </c>
      <c r="B413" s="7">
        <f t="shared" ca="1" si="36"/>
        <v>77</v>
      </c>
      <c r="C413" s="7">
        <f>MATCH(Salary[[#This Row],[ماه]],Calc!$A$16:$A$27,0)</f>
        <v>7</v>
      </c>
      <c r="D413" s="8" t="s">
        <v>92</v>
      </c>
      <c r="E413" s="9">
        <f t="shared" ca="1" si="41"/>
        <v>3220000</v>
      </c>
      <c r="F413" s="9"/>
      <c r="G413" s="9">
        <f t="shared" ca="1" si="37"/>
        <v>3220000</v>
      </c>
      <c r="H413" s="9">
        <f t="shared" ca="1" si="38"/>
        <v>740600</v>
      </c>
      <c r="I413" s="9">
        <f t="shared" ca="1" si="39"/>
        <v>225400.00000000003</v>
      </c>
      <c r="J413" s="22">
        <f ca="1">IF(Salary[[#This Row],[پایه حقوق]]&lt;=5600000,0,(Salary[[#This Row],[پایه حقوق]]-5600000)*0.1)</f>
        <v>0</v>
      </c>
      <c r="K413" s="16">
        <f t="shared" ca="1" si="40"/>
        <v>2994600</v>
      </c>
    </row>
    <row r="414" spans="1:11">
      <c r="A414" s="1">
        <v>9990309</v>
      </c>
      <c r="B414" s="7">
        <f t="shared" ca="1" si="36"/>
        <v>35</v>
      </c>
      <c r="C414" s="7">
        <f>MATCH(Salary[[#This Row],[ماه]],Calc!$A$16:$A$27,0)</f>
        <v>7</v>
      </c>
      <c r="D414" s="8" t="s">
        <v>92</v>
      </c>
      <c r="E414" s="9">
        <f t="shared" ca="1" si="41"/>
        <v>12089000</v>
      </c>
      <c r="F414" s="9"/>
      <c r="G414" s="9">
        <f t="shared" ca="1" si="37"/>
        <v>12089000</v>
      </c>
      <c r="H414" s="9">
        <f t="shared" ca="1" si="38"/>
        <v>2780470</v>
      </c>
      <c r="I414" s="9">
        <f t="shared" ca="1" si="39"/>
        <v>846230.00000000012</v>
      </c>
      <c r="J414" s="22">
        <f ca="1">IF(Salary[[#This Row],[پایه حقوق]]&lt;=5600000,0,(Salary[[#This Row],[پایه حقوق]]-5600000)*0.1)</f>
        <v>648900</v>
      </c>
      <c r="K414" s="16">
        <f t="shared" ca="1" si="40"/>
        <v>10593870</v>
      </c>
    </row>
    <row r="415" spans="1:11">
      <c r="A415" s="1">
        <v>9990357</v>
      </c>
      <c r="B415" s="7">
        <f t="shared" ca="1" si="36"/>
        <v>34</v>
      </c>
      <c r="C415" s="7">
        <f>MATCH(Salary[[#This Row],[ماه]],Calc!$A$16:$A$27,0)</f>
        <v>7</v>
      </c>
      <c r="D415" s="8" t="s">
        <v>92</v>
      </c>
      <c r="E415" s="9">
        <f t="shared" ca="1" si="41"/>
        <v>4389000</v>
      </c>
      <c r="F415" s="9"/>
      <c r="G415" s="9">
        <f t="shared" ca="1" si="37"/>
        <v>4389000</v>
      </c>
      <c r="H415" s="9">
        <f t="shared" ca="1" si="38"/>
        <v>1009470</v>
      </c>
      <c r="I415" s="9">
        <f t="shared" ca="1" si="39"/>
        <v>307230.00000000006</v>
      </c>
      <c r="J415" s="22">
        <f ca="1">IF(Salary[[#This Row],[پایه حقوق]]&lt;=5600000,0,(Salary[[#This Row],[پایه حقوق]]-5600000)*0.1)</f>
        <v>0</v>
      </c>
      <c r="K415" s="16">
        <f t="shared" ca="1" si="40"/>
        <v>4081770</v>
      </c>
    </row>
    <row r="416" spans="1:11">
      <c r="A416" s="1">
        <v>9990405</v>
      </c>
      <c r="B416" s="7">
        <f t="shared" ca="1" si="36"/>
        <v>78</v>
      </c>
      <c r="C416" s="7">
        <f>MATCH(Salary[[#This Row],[ماه]],Calc!$A$16:$A$27,0)</f>
        <v>7</v>
      </c>
      <c r="D416" s="8" t="s">
        <v>92</v>
      </c>
      <c r="E416" s="9">
        <f t="shared" ca="1" si="41"/>
        <v>7306000</v>
      </c>
      <c r="F416" s="9"/>
      <c r="G416" s="9">
        <f t="shared" ca="1" si="37"/>
        <v>7306000</v>
      </c>
      <c r="H416" s="9">
        <f t="shared" ca="1" si="38"/>
        <v>1680380</v>
      </c>
      <c r="I416" s="9">
        <f t="shared" ca="1" si="39"/>
        <v>511420.00000000006</v>
      </c>
      <c r="J416" s="22">
        <f ca="1">IF(Salary[[#This Row],[پایه حقوق]]&lt;=5600000,0,(Salary[[#This Row],[پایه حقوق]]-5600000)*0.1)</f>
        <v>170600</v>
      </c>
      <c r="K416" s="16">
        <f t="shared" ca="1" si="40"/>
        <v>6623980</v>
      </c>
    </row>
    <row r="417" spans="1:11">
      <c r="A417" s="1">
        <v>9990453</v>
      </c>
      <c r="B417" s="7">
        <f t="shared" ca="1" si="36"/>
        <v>96</v>
      </c>
      <c r="C417" s="7">
        <f>MATCH(Salary[[#This Row],[ماه]],Calc!$A$16:$A$27,0)</f>
        <v>7</v>
      </c>
      <c r="D417" s="8" t="s">
        <v>92</v>
      </c>
      <c r="E417" s="9">
        <f t="shared" ca="1" si="41"/>
        <v>11364000</v>
      </c>
      <c r="F417" s="9"/>
      <c r="G417" s="9">
        <f t="shared" ca="1" si="37"/>
        <v>11364000</v>
      </c>
      <c r="H417" s="9">
        <f t="shared" ca="1" si="38"/>
        <v>2613720</v>
      </c>
      <c r="I417" s="9">
        <f t="shared" ca="1" si="39"/>
        <v>795480.00000000012</v>
      </c>
      <c r="J417" s="22">
        <f ca="1">IF(Salary[[#This Row],[پایه حقوق]]&lt;=5600000,0,(Salary[[#This Row],[پایه حقوق]]-5600000)*0.1)</f>
        <v>576400</v>
      </c>
      <c r="K417" s="16">
        <f t="shared" ca="1" si="40"/>
        <v>9992120</v>
      </c>
    </row>
    <row r="418" spans="1:11">
      <c r="A418" s="1">
        <v>9990501</v>
      </c>
      <c r="B418" s="7">
        <f t="shared" ca="1" si="36"/>
        <v>79</v>
      </c>
      <c r="C418" s="7">
        <f>MATCH(Salary[[#This Row],[ماه]],Calc!$A$16:$A$27,0)</f>
        <v>7</v>
      </c>
      <c r="D418" s="8" t="s">
        <v>92</v>
      </c>
      <c r="E418" s="9">
        <f t="shared" ca="1" si="41"/>
        <v>4772000</v>
      </c>
      <c r="F418" s="9"/>
      <c r="G418" s="9">
        <f t="shared" ca="1" si="37"/>
        <v>4772000</v>
      </c>
      <c r="H418" s="9">
        <f t="shared" ca="1" si="38"/>
        <v>1097560</v>
      </c>
      <c r="I418" s="9">
        <f t="shared" ca="1" si="39"/>
        <v>334040.00000000006</v>
      </c>
      <c r="J418" s="22">
        <f ca="1">IF(Salary[[#This Row],[پایه حقوق]]&lt;=5600000,0,(Salary[[#This Row],[پایه حقوق]]-5600000)*0.1)</f>
        <v>0</v>
      </c>
      <c r="K418" s="16">
        <f t="shared" ca="1" si="40"/>
        <v>4437960</v>
      </c>
    </row>
    <row r="419" spans="1:11">
      <c r="A419" s="1">
        <v>9990549</v>
      </c>
      <c r="B419" s="7">
        <f t="shared" ca="1" si="36"/>
        <v>57</v>
      </c>
      <c r="C419" s="7">
        <f>MATCH(Salary[[#This Row],[ماه]],Calc!$A$16:$A$27,0)</f>
        <v>7</v>
      </c>
      <c r="D419" s="8" t="s">
        <v>92</v>
      </c>
      <c r="E419" s="9">
        <f t="shared" ca="1" si="41"/>
        <v>13786000</v>
      </c>
      <c r="F419" s="9"/>
      <c r="G419" s="9">
        <f t="shared" ca="1" si="37"/>
        <v>13786000</v>
      </c>
      <c r="H419" s="9">
        <f t="shared" ca="1" si="38"/>
        <v>3170780</v>
      </c>
      <c r="I419" s="9">
        <f t="shared" ca="1" si="39"/>
        <v>965020.00000000012</v>
      </c>
      <c r="J419" s="22">
        <f ca="1">IF(Salary[[#This Row],[پایه حقوق]]&lt;=5600000,0,(Salary[[#This Row],[پایه حقوق]]-5600000)*0.1)</f>
        <v>818600</v>
      </c>
      <c r="K419" s="16">
        <f t="shared" ca="1" si="40"/>
        <v>12002380</v>
      </c>
    </row>
    <row r="420" spans="1:11">
      <c r="A420" s="1">
        <v>9990597</v>
      </c>
      <c r="B420" s="7">
        <f t="shared" ca="1" si="36"/>
        <v>72</v>
      </c>
      <c r="C420" s="7">
        <f>MATCH(Salary[[#This Row],[ماه]],Calc!$A$16:$A$27,0)</f>
        <v>7</v>
      </c>
      <c r="D420" s="8" t="s">
        <v>92</v>
      </c>
      <c r="E420" s="9">
        <f t="shared" ca="1" si="41"/>
        <v>13901000</v>
      </c>
      <c r="F420" s="9"/>
      <c r="G420" s="9">
        <f t="shared" ca="1" si="37"/>
        <v>13901000</v>
      </c>
      <c r="H420" s="9">
        <f t="shared" ca="1" si="38"/>
        <v>3197230</v>
      </c>
      <c r="I420" s="9">
        <f t="shared" ca="1" si="39"/>
        <v>973070.00000000012</v>
      </c>
      <c r="J420" s="22">
        <f ca="1">IF(Salary[[#This Row],[پایه حقوق]]&lt;=5600000,0,(Salary[[#This Row],[پایه حقوق]]-5600000)*0.1)</f>
        <v>830100</v>
      </c>
      <c r="K420" s="16">
        <f t="shared" ca="1" si="40"/>
        <v>12097830</v>
      </c>
    </row>
    <row r="421" spans="1:11">
      <c r="A421" s="1">
        <v>9990645</v>
      </c>
      <c r="B421" s="7">
        <f t="shared" ca="1" si="36"/>
        <v>93</v>
      </c>
      <c r="C421" s="7">
        <f>MATCH(Salary[[#This Row],[ماه]],Calc!$A$16:$A$27,0)</f>
        <v>7</v>
      </c>
      <c r="D421" s="8" t="s">
        <v>92</v>
      </c>
      <c r="E421" s="9">
        <f t="shared" ca="1" si="41"/>
        <v>3304000</v>
      </c>
      <c r="F421" s="9"/>
      <c r="G421" s="9">
        <f t="shared" ca="1" si="37"/>
        <v>3304000</v>
      </c>
      <c r="H421" s="9">
        <f t="shared" ca="1" si="38"/>
        <v>759920</v>
      </c>
      <c r="I421" s="9">
        <f t="shared" ca="1" si="39"/>
        <v>231280.00000000003</v>
      </c>
      <c r="J421" s="22">
        <f ca="1">IF(Salary[[#This Row],[پایه حقوق]]&lt;=5600000,0,(Salary[[#This Row],[پایه حقوق]]-5600000)*0.1)</f>
        <v>0</v>
      </c>
      <c r="K421" s="16">
        <f t="shared" ca="1" si="40"/>
        <v>3072720</v>
      </c>
    </row>
    <row r="422" spans="1:11">
      <c r="A422" s="1">
        <v>9987656</v>
      </c>
      <c r="B422" s="7">
        <f t="shared" ca="1" si="36"/>
        <v>93</v>
      </c>
      <c r="C422" s="7">
        <f>MATCH(Salary[[#This Row],[ماه]],Calc!$A$16:$A$27,0)</f>
        <v>8</v>
      </c>
      <c r="D422" s="8" t="s">
        <v>93</v>
      </c>
      <c r="E422" s="9">
        <f t="shared" ca="1" si="41"/>
        <v>9815000</v>
      </c>
      <c r="F422" s="9">
        <f ca="1">0.7*E422</f>
        <v>6870500</v>
      </c>
      <c r="G422" s="9">
        <f t="shared" ca="1" si="37"/>
        <v>16685500</v>
      </c>
      <c r="H422" s="9">
        <f t="shared" ca="1" si="38"/>
        <v>2257450</v>
      </c>
      <c r="I422" s="9">
        <f t="shared" ca="1" si="39"/>
        <v>687050.00000000012</v>
      </c>
      <c r="J422" s="22">
        <f ca="1">IF(Salary[[#This Row],[پایه حقوق]]&lt;=5600000,0,(Salary[[#This Row],[پایه حقوق]]-5600000)*0.1)</f>
        <v>421500</v>
      </c>
      <c r="K422" s="16">
        <f t="shared" ca="1" si="40"/>
        <v>15576950</v>
      </c>
    </row>
    <row r="423" spans="1:11">
      <c r="A423" s="1">
        <v>9987728</v>
      </c>
      <c r="B423" s="7">
        <f t="shared" ca="1" si="36"/>
        <v>78</v>
      </c>
      <c r="C423" s="7">
        <f>MATCH(Salary[[#This Row],[ماه]],Calc!$A$16:$A$27,0)</f>
        <v>8</v>
      </c>
      <c r="D423" s="8" t="s">
        <v>93</v>
      </c>
      <c r="E423" s="9">
        <f t="shared" ca="1" si="41"/>
        <v>11212000</v>
      </c>
      <c r="F423" s="9"/>
      <c r="G423" s="9">
        <f t="shared" ca="1" si="37"/>
        <v>11212000</v>
      </c>
      <c r="H423" s="9">
        <f t="shared" ca="1" si="38"/>
        <v>2578760</v>
      </c>
      <c r="I423" s="9">
        <f t="shared" ca="1" si="39"/>
        <v>784840.00000000012</v>
      </c>
      <c r="J423" s="22">
        <f ca="1">IF(Salary[[#This Row],[پایه حقوق]]&lt;=5600000,0,(Salary[[#This Row],[پایه حقوق]]-5600000)*0.1)</f>
        <v>561200</v>
      </c>
      <c r="K423" s="16">
        <f t="shared" ca="1" si="40"/>
        <v>9865960</v>
      </c>
    </row>
    <row r="424" spans="1:11">
      <c r="A424" s="1">
        <v>9987826</v>
      </c>
      <c r="B424" s="7">
        <f t="shared" ca="1" si="36"/>
        <v>55</v>
      </c>
      <c r="C424" s="7">
        <f>MATCH(Salary[[#This Row],[ماه]],Calc!$A$16:$A$27,0)</f>
        <v>8</v>
      </c>
      <c r="D424" s="8" t="s">
        <v>93</v>
      </c>
      <c r="E424" s="9">
        <f t="shared" ca="1" si="41"/>
        <v>12961000</v>
      </c>
      <c r="F424" s="9">
        <f ca="1">0.7*E424</f>
        <v>9072700</v>
      </c>
      <c r="G424" s="9">
        <f t="shared" ca="1" si="37"/>
        <v>22033700</v>
      </c>
      <c r="H424" s="9">
        <f t="shared" ca="1" si="38"/>
        <v>2981030</v>
      </c>
      <c r="I424" s="9">
        <f t="shared" ca="1" si="39"/>
        <v>907270.00000000012</v>
      </c>
      <c r="J424" s="22">
        <f ca="1">IF(Salary[[#This Row],[پایه حقوق]]&lt;=5600000,0,(Salary[[#This Row],[پایه حقوق]]-5600000)*0.1)</f>
        <v>736100</v>
      </c>
      <c r="K424" s="16">
        <f t="shared" ca="1" si="40"/>
        <v>20390330</v>
      </c>
    </row>
    <row r="425" spans="1:11">
      <c r="A425" s="1">
        <v>9987915</v>
      </c>
      <c r="B425" s="7">
        <f t="shared" ca="1" si="36"/>
        <v>61</v>
      </c>
      <c r="C425" s="7">
        <f>MATCH(Salary[[#This Row],[ماه]],Calc!$A$16:$A$27,0)</f>
        <v>8</v>
      </c>
      <c r="D425" s="8" t="s">
        <v>93</v>
      </c>
      <c r="E425" s="9">
        <f t="shared" ca="1" si="41"/>
        <v>10463000</v>
      </c>
      <c r="F425" s="9">
        <f ca="1">0.7*E425</f>
        <v>7324100</v>
      </c>
      <c r="G425" s="9">
        <f t="shared" ca="1" si="37"/>
        <v>17787100</v>
      </c>
      <c r="H425" s="9">
        <f t="shared" ca="1" si="38"/>
        <v>2406490</v>
      </c>
      <c r="I425" s="9">
        <f t="shared" ca="1" si="39"/>
        <v>732410.00000000012</v>
      </c>
      <c r="J425" s="22">
        <f ca="1">IF(Salary[[#This Row],[پایه حقوق]]&lt;=5600000,0,(Salary[[#This Row],[پایه حقوق]]-5600000)*0.1)</f>
        <v>486300</v>
      </c>
      <c r="K425" s="16">
        <f t="shared" ca="1" si="40"/>
        <v>16568390</v>
      </c>
    </row>
    <row r="426" spans="1:11">
      <c r="A426" s="1">
        <v>9987938</v>
      </c>
      <c r="B426" s="7">
        <f t="shared" ca="1" si="36"/>
        <v>79</v>
      </c>
      <c r="C426" s="7">
        <f>MATCH(Salary[[#This Row],[ماه]],Calc!$A$16:$A$27,0)</f>
        <v>8</v>
      </c>
      <c r="D426" s="8" t="s">
        <v>93</v>
      </c>
      <c r="E426" s="9">
        <f t="shared" ca="1" si="41"/>
        <v>10072000</v>
      </c>
      <c r="F426" s="9"/>
      <c r="G426" s="9">
        <f t="shared" ca="1" si="37"/>
        <v>10072000</v>
      </c>
      <c r="H426" s="9">
        <f t="shared" ca="1" si="38"/>
        <v>2316560</v>
      </c>
      <c r="I426" s="9">
        <f t="shared" ca="1" si="39"/>
        <v>705040.00000000012</v>
      </c>
      <c r="J426" s="22">
        <f ca="1">IF(Salary[[#This Row],[پایه حقوق]]&lt;=5600000,0,(Salary[[#This Row],[پایه حقوق]]-5600000)*0.1)</f>
        <v>447200</v>
      </c>
      <c r="K426" s="16">
        <f t="shared" ca="1" si="40"/>
        <v>8919760</v>
      </c>
    </row>
    <row r="427" spans="1:11">
      <c r="A427" s="1">
        <v>9988023</v>
      </c>
      <c r="B427" s="7">
        <f t="shared" ca="1" si="36"/>
        <v>48</v>
      </c>
      <c r="C427" s="7">
        <f>MATCH(Salary[[#This Row],[ماه]],Calc!$A$16:$A$27,0)</f>
        <v>8</v>
      </c>
      <c r="D427" s="8" t="s">
        <v>93</v>
      </c>
      <c r="E427" s="9">
        <f t="shared" ca="1" si="41"/>
        <v>14848000</v>
      </c>
      <c r="F427" s="9"/>
      <c r="G427" s="9">
        <f t="shared" ca="1" si="37"/>
        <v>14848000</v>
      </c>
      <c r="H427" s="9">
        <f t="shared" ca="1" si="38"/>
        <v>3415040</v>
      </c>
      <c r="I427" s="9">
        <f t="shared" ca="1" si="39"/>
        <v>1039360.0000000001</v>
      </c>
      <c r="J427" s="22">
        <f ca="1">IF(Salary[[#This Row],[پایه حقوق]]&lt;=5600000,0,(Salary[[#This Row],[پایه حقوق]]-5600000)*0.1)</f>
        <v>924800</v>
      </c>
      <c r="K427" s="16">
        <f t="shared" ca="1" si="40"/>
        <v>12883840</v>
      </c>
    </row>
    <row r="428" spans="1:11">
      <c r="A428" s="1">
        <v>9988106</v>
      </c>
      <c r="B428" s="7">
        <f t="shared" ca="1" si="36"/>
        <v>58</v>
      </c>
      <c r="C428" s="7">
        <f>MATCH(Salary[[#This Row],[ماه]],Calc!$A$16:$A$27,0)</f>
        <v>8</v>
      </c>
      <c r="D428" s="8" t="s">
        <v>93</v>
      </c>
      <c r="E428" s="9">
        <f t="shared" ca="1" si="41"/>
        <v>7309000</v>
      </c>
      <c r="F428" s="9"/>
      <c r="G428" s="9">
        <f t="shared" ca="1" si="37"/>
        <v>7309000</v>
      </c>
      <c r="H428" s="9">
        <f t="shared" ca="1" si="38"/>
        <v>1681070</v>
      </c>
      <c r="I428" s="9">
        <f t="shared" ca="1" si="39"/>
        <v>511630.00000000006</v>
      </c>
      <c r="J428" s="22">
        <f ca="1">IF(Salary[[#This Row],[پایه حقوق]]&lt;=5600000,0,(Salary[[#This Row],[پایه حقوق]]-5600000)*0.1)</f>
        <v>170900</v>
      </c>
      <c r="K428" s="16">
        <f t="shared" ca="1" si="40"/>
        <v>6626470</v>
      </c>
    </row>
    <row r="429" spans="1:11">
      <c r="A429" s="1">
        <v>9988137</v>
      </c>
      <c r="B429" s="7">
        <f t="shared" ca="1" si="36"/>
        <v>71</v>
      </c>
      <c r="C429" s="7">
        <f>MATCH(Salary[[#This Row],[ماه]],Calc!$A$16:$A$27,0)</f>
        <v>8</v>
      </c>
      <c r="D429" s="8" t="s">
        <v>93</v>
      </c>
      <c r="E429" s="9">
        <f t="shared" ca="1" si="41"/>
        <v>14731000</v>
      </c>
      <c r="F429" s="9"/>
      <c r="G429" s="9">
        <f t="shared" ca="1" si="37"/>
        <v>14731000</v>
      </c>
      <c r="H429" s="9">
        <f t="shared" ca="1" si="38"/>
        <v>3388130</v>
      </c>
      <c r="I429" s="9">
        <f t="shared" ca="1" si="39"/>
        <v>1031170.0000000001</v>
      </c>
      <c r="J429" s="22">
        <f ca="1">IF(Salary[[#This Row],[پایه حقوق]]&lt;=5600000,0,(Salary[[#This Row],[پایه حقوق]]-5600000)*0.1)</f>
        <v>913100</v>
      </c>
      <c r="K429" s="16">
        <f t="shared" ca="1" si="40"/>
        <v>12786730</v>
      </c>
    </row>
    <row r="430" spans="1:11">
      <c r="A430" s="1">
        <v>9988165</v>
      </c>
      <c r="B430" s="7">
        <f t="shared" ca="1" si="36"/>
        <v>51</v>
      </c>
      <c r="C430" s="7">
        <f>MATCH(Salary[[#This Row],[ماه]],Calc!$A$16:$A$27,0)</f>
        <v>8</v>
      </c>
      <c r="D430" s="8" t="s">
        <v>93</v>
      </c>
      <c r="E430" s="9">
        <f t="shared" ca="1" si="41"/>
        <v>13262000</v>
      </c>
      <c r="F430" s="9"/>
      <c r="G430" s="9">
        <f t="shared" ca="1" si="37"/>
        <v>13262000</v>
      </c>
      <c r="H430" s="9">
        <f t="shared" ca="1" si="38"/>
        <v>3050260</v>
      </c>
      <c r="I430" s="9">
        <f t="shared" ca="1" si="39"/>
        <v>928340.00000000012</v>
      </c>
      <c r="J430" s="22">
        <f ca="1">IF(Salary[[#This Row],[پایه حقوق]]&lt;=5600000,0,(Salary[[#This Row],[پایه حقوق]]-5600000)*0.1)</f>
        <v>766200</v>
      </c>
      <c r="K430" s="16">
        <f t="shared" ca="1" si="40"/>
        <v>11567460</v>
      </c>
    </row>
    <row r="431" spans="1:11">
      <c r="A431" s="1">
        <v>9988236</v>
      </c>
      <c r="B431" s="7">
        <f t="shared" ca="1" si="36"/>
        <v>70</v>
      </c>
      <c r="C431" s="7">
        <f>MATCH(Salary[[#This Row],[ماه]],Calc!$A$16:$A$27,0)</f>
        <v>8</v>
      </c>
      <c r="D431" s="8" t="s">
        <v>93</v>
      </c>
      <c r="E431" s="9">
        <f t="shared" ca="1" si="41"/>
        <v>11991000</v>
      </c>
      <c r="F431" s="9"/>
      <c r="G431" s="9">
        <f t="shared" ca="1" si="37"/>
        <v>11991000</v>
      </c>
      <c r="H431" s="9">
        <f t="shared" ca="1" si="38"/>
        <v>2757930</v>
      </c>
      <c r="I431" s="9">
        <f t="shared" ca="1" si="39"/>
        <v>839370.00000000012</v>
      </c>
      <c r="J431" s="22">
        <f ca="1">IF(Salary[[#This Row],[پایه حقوق]]&lt;=5600000,0,(Salary[[#This Row],[پایه حقوق]]-5600000)*0.1)</f>
        <v>639100</v>
      </c>
      <c r="K431" s="16">
        <f t="shared" ca="1" si="40"/>
        <v>10512530</v>
      </c>
    </row>
    <row r="432" spans="1:11">
      <c r="A432" s="1">
        <v>9988277</v>
      </c>
      <c r="B432" s="7">
        <f t="shared" ca="1" si="36"/>
        <v>32</v>
      </c>
      <c r="C432" s="7">
        <f>MATCH(Salary[[#This Row],[ماه]],Calc!$A$16:$A$27,0)</f>
        <v>8</v>
      </c>
      <c r="D432" s="8" t="s">
        <v>93</v>
      </c>
      <c r="E432" s="9">
        <f t="shared" ca="1" si="41"/>
        <v>11918000</v>
      </c>
      <c r="F432" s="9"/>
      <c r="G432" s="9">
        <f t="shared" ca="1" si="37"/>
        <v>11918000</v>
      </c>
      <c r="H432" s="9">
        <f t="shared" ca="1" si="38"/>
        <v>2741140</v>
      </c>
      <c r="I432" s="9">
        <f t="shared" ca="1" si="39"/>
        <v>834260.00000000012</v>
      </c>
      <c r="J432" s="22">
        <f ca="1">IF(Salary[[#This Row],[پایه حقوق]]&lt;=5600000,0,(Salary[[#This Row],[پایه حقوق]]-5600000)*0.1)</f>
        <v>631800</v>
      </c>
      <c r="K432" s="16">
        <f t="shared" ca="1" si="40"/>
        <v>10451940</v>
      </c>
    </row>
    <row r="433" spans="1:11">
      <c r="A433" s="1">
        <v>9988371</v>
      </c>
      <c r="B433" s="7">
        <f t="shared" ca="1" si="36"/>
        <v>78</v>
      </c>
      <c r="C433" s="7">
        <f>MATCH(Salary[[#This Row],[ماه]],Calc!$A$16:$A$27,0)</f>
        <v>8</v>
      </c>
      <c r="D433" s="8" t="s">
        <v>93</v>
      </c>
      <c r="E433" s="9">
        <f t="shared" ca="1" si="41"/>
        <v>9234000</v>
      </c>
      <c r="F433" s="9"/>
      <c r="G433" s="9">
        <f t="shared" ca="1" si="37"/>
        <v>9234000</v>
      </c>
      <c r="H433" s="9">
        <f t="shared" ca="1" si="38"/>
        <v>2123820</v>
      </c>
      <c r="I433" s="9">
        <f t="shared" ca="1" si="39"/>
        <v>646380.00000000012</v>
      </c>
      <c r="J433" s="22">
        <f ca="1">IF(Salary[[#This Row],[پایه حقوق]]&lt;=5600000,0,(Salary[[#This Row],[پایه حقوق]]-5600000)*0.1)</f>
        <v>363400</v>
      </c>
      <c r="K433" s="16">
        <f t="shared" ca="1" si="40"/>
        <v>8224220</v>
      </c>
    </row>
    <row r="434" spans="1:11">
      <c r="A434" s="1">
        <v>9988393</v>
      </c>
      <c r="B434" s="7">
        <f t="shared" ca="1" si="36"/>
        <v>78</v>
      </c>
      <c r="C434" s="7">
        <f>MATCH(Salary[[#This Row],[ماه]],Calc!$A$16:$A$27,0)</f>
        <v>8</v>
      </c>
      <c r="D434" s="8" t="s">
        <v>93</v>
      </c>
      <c r="E434" s="9">
        <f t="shared" ca="1" si="41"/>
        <v>3196000</v>
      </c>
      <c r="F434" s="9"/>
      <c r="G434" s="9">
        <f t="shared" ca="1" si="37"/>
        <v>3196000</v>
      </c>
      <c r="H434" s="9">
        <f t="shared" ca="1" si="38"/>
        <v>735080</v>
      </c>
      <c r="I434" s="9">
        <f t="shared" ca="1" si="39"/>
        <v>223720.00000000003</v>
      </c>
      <c r="J434" s="22">
        <f ca="1">IF(Salary[[#This Row],[پایه حقوق]]&lt;=5600000,0,(Salary[[#This Row],[پایه حقوق]]-5600000)*0.1)</f>
        <v>0</v>
      </c>
      <c r="K434" s="16">
        <f t="shared" ca="1" si="40"/>
        <v>2972280</v>
      </c>
    </row>
    <row r="435" spans="1:11">
      <c r="A435" s="1">
        <v>9988453</v>
      </c>
      <c r="B435" s="7">
        <f t="shared" ca="1" si="36"/>
        <v>94</v>
      </c>
      <c r="C435" s="7">
        <f>MATCH(Salary[[#This Row],[ماه]],Calc!$A$16:$A$27,0)</f>
        <v>8</v>
      </c>
      <c r="D435" s="8" t="s">
        <v>93</v>
      </c>
      <c r="E435" s="9">
        <f t="shared" ca="1" si="41"/>
        <v>13159000</v>
      </c>
      <c r="F435" s="9">
        <f ca="1">0.7*E435</f>
        <v>9211300</v>
      </c>
      <c r="G435" s="9">
        <f t="shared" ca="1" si="37"/>
        <v>22370300</v>
      </c>
      <c r="H435" s="9">
        <f t="shared" ca="1" si="38"/>
        <v>3026570</v>
      </c>
      <c r="I435" s="9">
        <f t="shared" ca="1" si="39"/>
        <v>921130.00000000012</v>
      </c>
      <c r="J435" s="22">
        <f ca="1">IF(Salary[[#This Row],[پایه حقوق]]&lt;=5600000,0,(Salary[[#This Row],[پایه حقوق]]-5600000)*0.1)</f>
        <v>755900</v>
      </c>
      <c r="K435" s="16">
        <f t="shared" ca="1" si="40"/>
        <v>20693270</v>
      </c>
    </row>
    <row r="436" spans="1:11">
      <c r="A436" s="1">
        <v>9988492</v>
      </c>
      <c r="B436" s="7">
        <f t="shared" ca="1" si="36"/>
        <v>30</v>
      </c>
      <c r="C436" s="7">
        <f>MATCH(Salary[[#This Row],[ماه]],Calc!$A$16:$A$27,0)</f>
        <v>8</v>
      </c>
      <c r="D436" s="8" t="s">
        <v>93</v>
      </c>
      <c r="E436" s="9">
        <f t="shared" ca="1" si="41"/>
        <v>13466000</v>
      </c>
      <c r="F436" s="9"/>
      <c r="G436" s="9">
        <f t="shared" ca="1" si="37"/>
        <v>13466000</v>
      </c>
      <c r="H436" s="9">
        <f t="shared" ca="1" si="38"/>
        <v>3097180</v>
      </c>
      <c r="I436" s="9">
        <f t="shared" ca="1" si="39"/>
        <v>942620.00000000012</v>
      </c>
      <c r="J436" s="22">
        <f ca="1">IF(Salary[[#This Row],[پایه حقوق]]&lt;=5600000,0,(Salary[[#This Row],[پایه حقوق]]-5600000)*0.1)</f>
        <v>786600</v>
      </c>
      <c r="K436" s="16">
        <f t="shared" ca="1" si="40"/>
        <v>11736780</v>
      </c>
    </row>
    <row r="437" spans="1:11">
      <c r="A437" s="1">
        <v>9988572</v>
      </c>
      <c r="B437" s="7">
        <f t="shared" ca="1" si="36"/>
        <v>83</v>
      </c>
      <c r="C437" s="7">
        <f>MATCH(Salary[[#This Row],[ماه]],Calc!$A$16:$A$27,0)</f>
        <v>8</v>
      </c>
      <c r="D437" s="8" t="s">
        <v>93</v>
      </c>
      <c r="E437" s="9">
        <f t="shared" ca="1" si="41"/>
        <v>14928000</v>
      </c>
      <c r="F437" s="9"/>
      <c r="G437" s="9">
        <f t="shared" ca="1" si="37"/>
        <v>14928000</v>
      </c>
      <c r="H437" s="9">
        <f t="shared" ca="1" si="38"/>
        <v>3433440</v>
      </c>
      <c r="I437" s="9">
        <f t="shared" ca="1" si="39"/>
        <v>1044960.0000000001</v>
      </c>
      <c r="J437" s="22">
        <f ca="1">IF(Salary[[#This Row],[پایه حقوق]]&lt;=5600000,0,(Salary[[#This Row],[پایه حقوق]]-5600000)*0.1)</f>
        <v>932800</v>
      </c>
      <c r="K437" s="16">
        <f t="shared" ca="1" si="40"/>
        <v>12950240</v>
      </c>
    </row>
    <row r="438" spans="1:11">
      <c r="A438" s="1">
        <v>9988618</v>
      </c>
      <c r="B438" s="7">
        <f t="shared" ca="1" si="36"/>
        <v>99</v>
      </c>
      <c r="C438" s="7">
        <f>MATCH(Salary[[#This Row],[ماه]],Calc!$A$16:$A$27,0)</f>
        <v>8</v>
      </c>
      <c r="D438" s="8" t="s">
        <v>93</v>
      </c>
      <c r="E438" s="9">
        <f t="shared" ca="1" si="41"/>
        <v>14046000</v>
      </c>
      <c r="F438" s="9"/>
      <c r="G438" s="9">
        <f t="shared" ca="1" si="37"/>
        <v>14046000</v>
      </c>
      <c r="H438" s="9">
        <f t="shared" ca="1" si="38"/>
        <v>3230580</v>
      </c>
      <c r="I438" s="9">
        <f t="shared" ca="1" si="39"/>
        <v>983220.00000000012</v>
      </c>
      <c r="J438" s="22">
        <f ca="1">IF(Salary[[#This Row],[پایه حقوق]]&lt;=5600000,0,(Salary[[#This Row],[پایه حقوق]]-5600000)*0.1)</f>
        <v>844600</v>
      </c>
      <c r="K438" s="16">
        <f t="shared" ca="1" si="40"/>
        <v>12218180</v>
      </c>
    </row>
    <row r="439" spans="1:11">
      <c r="A439" s="1">
        <v>9988657</v>
      </c>
      <c r="B439" s="7">
        <f t="shared" ca="1" si="36"/>
        <v>79</v>
      </c>
      <c r="C439" s="7">
        <f>MATCH(Salary[[#This Row],[ماه]],Calc!$A$16:$A$27,0)</f>
        <v>8</v>
      </c>
      <c r="D439" s="8" t="s">
        <v>93</v>
      </c>
      <c r="E439" s="9">
        <f t="shared" ca="1" si="41"/>
        <v>7969000</v>
      </c>
      <c r="F439" s="9"/>
      <c r="G439" s="9">
        <f t="shared" ca="1" si="37"/>
        <v>7969000</v>
      </c>
      <c r="H439" s="9">
        <f t="shared" ca="1" si="38"/>
        <v>1832870</v>
      </c>
      <c r="I439" s="9">
        <f t="shared" ca="1" si="39"/>
        <v>557830</v>
      </c>
      <c r="J439" s="22">
        <f ca="1">IF(Salary[[#This Row],[پایه حقوق]]&lt;=5600000,0,(Salary[[#This Row],[پایه حقوق]]-5600000)*0.1)</f>
        <v>236900</v>
      </c>
      <c r="K439" s="16">
        <f t="shared" ca="1" si="40"/>
        <v>7174270</v>
      </c>
    </row>
    <row r="440" spans="1:11">
      <c r="A440" s="1">
        <v>9988677</v>
      </c>
      <c r="B440" s="7">
        <f t="shared" ca="1" si="36"/>
        <v>86</v>
      </c>
      <c r="C440" s="7">
        <f>MATCH(Salary[[#This Row],[ماه]],Calc!$A$16:$A$27,0)</f>
        <v>8</v>
      </c>
      <c r="D440" s="8" t="s">
        <v>93</v>
      </c>
      <c r="E440" s="9">
        <f t="shared" ca="1" si="41"/>
        <v>8389000</v>
      </c>
      <c r="F440" s="9"/>
      <c r="G440" s="9">
        <f t="shared" ca="1" si="37"/>
        <v>8389000</v>
      </c>
      <c r="H440" s="9">
        <f t="shared" ca="1" si="38"/>
        <v>1929470</v>
      </c>
      <c r="I440" s="9">
        <f t="shared" ca="1" si="39"/>
        <v>587230</v>
      </c>
      <c r="J440" s="22">
        <f ca="1">IF(Salary[[#This Row],[پایه حقوق]]&lt;=5600000,0,(Salary[[#This Row],[پایه حقوق]]-5600000)*0.1)</f>
        <v>278900</v>
      </c>
      <c r="K440" s="16">
        <f t="shared" ca="1" si="40"/>
        <v>7522870</v>
      </c>
    </row>
    <row r="441" spans="1:11">
      <c r="A441" s="1">
        <v>9988725</v>
      </c>
      <c r="B441" s="7">
        <f t="shared" ca="1" si="36"/>
        <v>91</v>
      </c>
      <c r="C441" s="7">
        <f>MATCH(Salary[[#This Row],[ماه]],Calc!$A$16:$A$27,0)</f>
        <v>8</v>
      </c>
      <c r="D441" s="8" t="s">
        <v>93</v>
      </c>
      <c r="E441" s="9">
        <f t="shared" ca="1" si="41"/>
        <v>9511000</v>
      </c>
      <c r="F441" s="9"/>
      <c r="G441" s="9">
        <f t="shared" ca="1" si="37"/>
        <v>9511000</v>
      </c>
      <c r="H441" s="9">
        <f t="shared" ca="1" si="38"/>
        <v>2187530</v>
      </c>
      <c r="I441" s="9">
        <f t="shared" ca="1" si="39"/>
        <v>665770.00000000012</v>
      </c>
      <c r="J441" s="22">
        <f ca="1">IF(Salary[[#This Row],[پایه حقوق]]&lt;=5600000,0,(Salary[[#This Row],[پایه حقوق]]-5600000)*0.1)</f>
        <v>391100</v>
      </c>
      <c r="K441" s="16">
        <f t="shared" ca="1" si="40"/>
        <v>8454130</v>
      </c>
    </row>
    <row r="442" spans="1:11">
      <c r="A442" s="1">
        <v>9988773</v>
      </c>
      <c r="B442" s="7">
        <f t="shared" ca="1" si="36"/>
        <v>92</v>
      </c>
      <c r="C442" s="7">
        <f>MATCH(Salary[[#This Row],[ماه]],Calc!$A$16:$A$27,0)</f>
        <v>8</v>
      </c>
      <c r="D442" s="8" t="s">
        <v>93</v>
      </c>
      <c r="E442" s="9">
        <f t="shared" ca="1" si="41"/>
        <v>13693000</v>
      </c>
      <c r="F442" s="9"/>
      <c r="G442" s="9">
        <f t="shared" ca="1" si="37"/>
        <v>13693000</v>
      </c>
      <c r="H442" s="9">
        <f t="shared" ca="1" si="38"/>
        <v>3149390</v>
      </c>
      <c r="I442" s="9">
        <f t="shared" ca="1" si="39"/>
        <v>958510.00000000012</v>
      </c>
      <c r="J442" s="22">
        <f ca="1">IF(Salary[[#This Row],[پایه حقوق]]&lt;=5600000,0,(Salary[[#This Row],[پایه حقوق]]-5600000)*0.1)</f>
        <v>809300</v>
      </c>
      <c r="K442" s="16">
        <f t="shared" ca="1" si="40"/>
        <v>11925190</v>
      </c>
    </row>
    <row r="443" spans="1:11">
      <c r="A443" s="1">
        <v>9988821</v>
      </c>
      <c r="B443" s="7">
        <f t="shared" ca="1" si="36"/>
        <v>35</v>
      </c>
      <c r="C443" s="7">
        <f>MATCH(Salary[[#This Row],[ماه]],Calc!$A$16:$A$27,0)</f>
        <v>8</v>
      </c>
      <c r="D443" s="8" t="s">
        <v>93</v>
      </c>
      <c r="E443" s="9">
        <f t="shared" ca="1" si="41"/>
        <v>12765000</v>
      </c>
      <c r="F443" s="9"/>
      <c r="G443" s="9">
        <f t="shared" ca="1" si="37"/>
        <v>12765000</v>
      </c>
      <c r="H443" s="9">
        <f t="shared" ca="1" si="38"/>
        <v>2935950</v>
      </c>
      <c r="I443" s="9">
        <f t="shared" ca="1" si="39"/>
        <v>893550.00000000012</v>
      </c>
      <c r="J443" s="22">
        <f ca="1">IF(Salary[[#This Row],[پایه حقوق]]&lt;=5600000,0,(Salary[[#This Row],[پایه حقوق]]-5600000)*0.1)</f>
        <v>716500</v>
      </c>
      <c r="K443" s="16">
        <f t="shared" ca="1" si="40"/>
        <v>11154950</v>
      </c>
    </row>
    <row r="444" spans="1:11">
      <c r="A444" s="1">
        <v>9988869</v>
      </c>
      <c r="B444" s="7">
        <f t="shared" ca="1" si="36"/>
        <v>49</v>
      </c>
      <c r="C444" s="7">
        <f>MATCH(Salary[[#This Row],[ماه]],Calc!$A$16:$A$27,0)</f>
        <v>8</v>
      </c>
      <c r="D444" s="8" t="s">
        <v>93</v>
      </c>
      <c r="E444" s="9">
        <f t="shared" ca="1" si="41"/>
        <v>11192000</v>
      </c>
      <c r="F444" s="9"/>
      <c r="G444" s="9">
        <f t="shared" ca="1" si="37"/>
        <v>11192000</v>
      </c>
      <c r="H444" s="9">
        <f t="shared" ca="1" si="38"/>
        <v>2574160</v>
      </c>
      <c r="I444" s="9">
        <f t="shared" ca="1" si="39"/>
        <v>783440.00000000012</v>
      </c>
      <c r="J444" s="22">
        <f ca="1">IF(Salary[[#This Row],[پایه حقوق]]&lt;=5600000,0,(Salary[[#This Row],[پایه حقوق]]-5600000)*0.1)</f>
        <v>559200</v>
      </c>
      <c r="K444" s="16">
        <f t="shared" ca="1" si="40"/>
        <v>9849360</v>
      </c>
    </row>
    <row r="445" spans="1:11">
      <c r="A445" s="1">
        <v>9988917</v>
      </c>
      <c r="B445" s="7">
        <f t="shared" ca="1" si="36"/>
        <v>52</v>
      </c>
      <c r="C445" s="7">
        <f>MATCH(Salary[[#This Row],[ماه]],Calc!$A$16:$A$27,0)</f>
        <v>8</v>
      </c>
      <c r="D445" s="8" t="s">
        <v>93</v>
      </c>
      <c r="E445" s="9">
        <f t="shared" ca="1" si="41"/>
        <v>14663000</v>
      </c>
      <c r="F445" s="9"/>
      <c r="G445" s="9">
        <f t="shared" ca="1" si="37"/>
        <v>14663000</v>
      </c>
      <c r="H445" s="9">
        <f t="shared" ca="1" si="38"/>
        <v>3372490</v>
      </c>
      <c r="I445" s="9">
        <f t="shared" ca="1" si="39"/>
        <v>1026410.0000000001</v>
      </c>
      <c r="J445" s="22">
        <f ca="1">IF(Salary[[#This Row],[پایه حقوق]]&lt;=5600000,0,(Salary[[#This Row],[پایه حقوق]]-5600000)*0.1)</f>
        <v>906300</v>
      </c>
      <c r="K445" s="16">
        <f t="shared" ca="1" si="40"/>
        <v>12730290</v>
      </c>
    </row>
    <row r="446" spans="1:11">
      <c r="A446" s="1">
        <v>9988965</v>
      </c>
      <c r="B446" s="7">
        <f t="shared" ca="1" si="36"/>
        <v>66</v>
      </c>
      <c r="C446" s="7">
        <f>MATCH(Salary[[#This Row],[ماه]],Calc!$A$16:$A$27,0)</f>
        <v>8</v>
      </c>
      <c r="D446" s="8" t="s">
        <v>93</v>
      </c>
      <c r="E446" s="9">
        <f t="shared" ca="1" si="41"/>
        <v>4727000</v>
      </c>
      <c r="F446" s="9"/>
      <c r="G446" s="9">
        <f t="shared" ca="1" si="37"/>
        <v>4727000</v>
      </c>
      <c r="H446" s="9">
        <f t="shared" ca="1" si="38"/>
        <v>1087210</v>
      </c>
      <c r="I446" s="9">
        <f t="shared" ca="1" si="39"/>
        <v>330890.00000000006</v>
      </c>
      <c r="J446" s="22">
        <f ca="1">IF(Salary[[#This Row],[پایه حقوق]]&lt;=5600000,0,(Salary[[#This Row],[پایه حقوق]]-5600000)*0.1)</f>
        <v>0</v>
      </c>
      <c r="K446" s="16">
        <f t="shared" ca="1" si="40"/>
        <v>4396110</v>
      </c>
    </row>
    <row r="447" spans="1:11">
      <c r="A447" s="1">
        <v>9989013</v>
      </c>
      <c r="B447" s="7">
        <f t="shared" ca="1" si="36"/>
        <v>46</v>
      </c>
      <c r="C447" s="7">
        <f>MATCH(Salary[[#This Row],[ماه]],Calc!$A$16:$A$27,0)</f>
        <v>8</v>
      </c>
      <c r="D447" s="8" t="s">
        <v>93</v>
      </c>
      <c r="E447" s="9">
        <f t="shared" ca="1" si="41"/>
        <v>11388000</v>
      </c>
      <c r="F447" s="9"/>
      <c r="G447" s="9">
        <f t="shared" ca="1" si="37"/>
        <v>11388000</v>
      </c>
      <c r="H447" s="9">
        <f t="shared" ca="1" si="38"/>
        <v>2619240</v>
      </c>
      <c r="I447" s="9">
        <f t="shared" ca="1" si="39"/>
        <v>797160.00000000012</v>
      </c>
      <c r="J447" s="22">
        <f ca="1">IF(Salary[[#This Row],[پایه حقوق]]&lt;=5600000,0,(Salary[[#This Row],[پایه حقوق]]-5600000)*0.1)</f>
        <v>578800</v>
      </c>
      <c r="K447" s="16">
        <f t="shared" ca="1" si="40"/>
        <v>10012040</v>
      </c>
    </row>
    <row r="448" spans="1:11">
      <c r="A448" s="1">
        <v>9989061</v>
      </c>
      <c r="B448" s="7">
        <f t="shared" ca="1" si="36"/>
        <v>55</v>
      </c>
      <c r="C448" s="7">
        <f>MATCH(Salary[[#This Row],[ماه]],Calc!$A$16:$A$27,0)</f>
        <v>8</v>
      </c>
      <c r="D448" s="8" t="s">
        <v>93</v>
      </c>
      <c r="E448" s="9">
        <f t="shared" ca="1" si="41"/>
        <v>11515000</v>
      </c>
      <c r="F448" s="9"/>
      <c r="G448" s="9">
        <f t="shared" ca="1" si="37"/>
        <v>11515000</v>
      </c>
      <c r="H448" s="9">
        <f t="shared" ca="1" si="38"/>
        <v>2648450</v>
      </c>
      <c r="I448" s="9">
        <f t="shared" ca="1" si="39"/>
        <v>806050.00000000012</v>
      </c>
      <c r="J448" s="22">
        <f ca="1">IF(Salary[[#This Row],[پایه حقوق]]&lt;=5600000,0,(Salary[[#This Row],[پایه حقوق]]-5600000)*0.1)</f>
        <v>591500</v>
      </c>
      <c r="K448" s="16">
        <f t="shared" ca="1" si="40"/>
        <v>10117450</v>
      </c>
    </row>
    <row r="449" spans="1:11">
      <c r="A449" s="1">
        <v>9989109</v>
      </c>
      <c r="B449" s="7">
        <f t="shared" ca="1" si="36"/>
        <v>85</v>
      </c>
      <c r="C449" s="7">
        <f>MATCH(Salary[[#This Row],[ماه]],Calc!$A$16:$A$27,0)</f>
        <v>8</v>
      </c>
      <c r="D449" s="8" t="s">
        <v>93</v>
      </c>
      <c r="E449" s="9">
        <f t="shared" ca="1" si="41"/>
        <v>5241000</v>
      </c>
      <c r="F449" s="9"/>
      <c r="G449" s="9">
        <f t="shared" ca="1" si="37"/>
        <v>5241000</v>
      </c>
      <c r="H449" s="9">
        <f t="shared" ca="1" si="38"/>
        <v>1205430</v>
      </c>
      <c r="I449" s="9">
        <f t="shared" ca="1" si="39"/>
        <v>366870.00000000006</v>
      </c>
      <c r="J449" s="22">
        <f ca="1">IF(Salary[[#This Row],[پایه حقوق]]&lt;=5600000,0,(Salary[[#This Row],[پایه حقوق]]-5600000)*0.1)</f>
        <v>0</v>
      </c>
      <c r="K449" s="16">
        <f t="shared" ca="1" si="40"/>
        <v>4874130</v>
      </c>
    </row>
    <row r="450" spans="1:11">
      <c r="A450" s="1">
        <v>9989157</v>
      </c>
      <c r="B450" s="7">
        <f t="shared" ref="B450:B513" ca="1" si="42">RANDBETWEEN(30,100)</f>
        <v>55</v>
      </c>
      <c r="C450" s="7">
        <f>MATCH(Salary[[#This Row],[ماه]],Calc!$A$16:$A$27,0)</f>
        <v>8</v>
      </c>
      <c r="D450" s="8" t="s">
        <v>93</v>
      </c>
      <c r="E450" s="9">
        <f t="shared" ca="1" si="41"/>
        <v>4296000</v>
      </c>
      <c r="F450" s="9"/>
      <c r="G450" s="9">
        <f t="shared" ref="G450:G513" ca="1" si="43">E450+F450</f>
        <v>4296000</v>
      </c>
      <c r="H450" s="9">
        <f t="shared" ref="H450:H513" ca="1" si="44">0.23*E450</f>
        <v>988080</v>
      </c>
      <c r="I450" s="9">
        <f t="shared" ref="I450:I513" ca="1" si="45">0.07*E450</f>
        <v>300720</v>
      </c>
      <c r="J450" s="22">
        <f ca="1">IF(Salary[[#This Row],[پایه حقوق]]&lt;=5600000,0,(Salary[[#This Row],[پایه حقوق]]-5600000)*0.1)</f>
        <v>0</v>
      </c>
      <c r="K450" s="16">
        <f t="shared" ref="K450:K513" ca="1" si="46">G450-I450-J450</f>
        <v>3995280</v>
      </c>
    </row>
    <row r="451" spans="1:11">
      <c r="A451" s="1">
        <v>9989205</v>
      </c>
      <c r="B451" s="7">
        <f t="shared" ca="1" si="42"/>
        <v>66</v>
      </c>
      <c r="C451" s="7">
        <f>MATCH(Salary[[#This Row],[ماه]],Calc!$A$16:$A$27,0)</f>
        <v>8</v>
      </c>
      <c r="D451" s="8" t="s">
        <v>93</v>
      </c>
      <c r="E451" s="9">
        <f t="shared" ref="E451:E514" ca="1" si="47">RANDBETWEEN(3000,15000)*1000</f>
        <v>12169000</v>
      </c>
      <c r="F451" s="9"/>
      <c r="G451" s="9">
        <f t="shared" ca="1" si="43"/>
        <v>12169000</v>
      </c>
      <c r="H451" s="9">
        <f t="shared" ca="1" si="44"/>
        <v>2798870</v>
      </c>
      <c r="I451" s="9">
        <f t="shared" ca="1" si="45"/>
        <v>851830.00000000012</v>
      </c>
      <c r="J451" s="22">
        <f ca="1">IF(Salary[[#This Row],[پایه حقوق]]&lt;=5600000,0,(Salary[[#This Row],[پایه حقوق]]-5600000)*0.1)</f>
        <v>656900</v>
      </c>
      <c r="K451" s="16">
        <f t="shared" ca="1" si="46"/>
        <v>10660270</v>
      </c>
    </row>
    <row r="452" spans="1:11">
      <c r="A452" s="1">
        <v>9989253</v>
      </c>
      <c r="B452" s="7">
        <f t="shared" ca="1" si="42"/>
        <v>30</v>
      </c>
      <c r="C452" s="7">
        <f>MATCH(Salary[[#This Row],[ماه]],Calc!$A$16:$A$27,0)</f>
        <v>8</v>
      </c>
      <c r="D452" s="8" t="s">
        <v>93</v>
      </c>
      <c r="E452" s="9">
        <f t="shared" ca="1" si="47"/>
        <v>5242000</v>
      </c>
      <c r="F452" s="9"/>
      <c r="G452" s="9">
        <f t="shared" ca="1" si="43"/>
        <v>5242000</v>
      </c>
      <c r="H452" s="9">
        <f t="shared" ca="1" si="44"/>
        <v>1205660</v>
      </c>
      <c r="I452" s="9">
        <f t="shared" ca="1" si="45"/>
        <v>366940.00000000006</v>
      </c>
      <c r="J452" s="22">
        <f ca="1">IF(Salary[[#This Row],[پایه حقوق]]&lt;=5600000,0,(Salary[[#This Row],[پایه حقوق]]-5600000)*0.1)</f>
        <v>0</v>
      </c>
      <c r="K452" s="16">
        <f t="shared" ca="1" si="46"/>
        <v>4875060</v>
      </c>
    </row>
    <row r="453" spans="1:11">
      <c r="A453" s="1">
        <v>9989301</v>
      </c>
      <c r="B453" s="7">
        <f t="shared" ca="1" si="42"/>
        <v>38</v>
      </c>
      <c r="C453" s="7">
        <f>MATCH(Salary[[#This Row],[ماه]],Calc!$A$16:$A$27,0)</f>
        <v>8</v>
      </c>
      <c r="D453" s="8" t="s">
        <v>93</v>
      </c>
      <c r="E453" s="9">
        <f t="shared" ca="1" si="47"/>
        <v>6478000</v>
      </c>
      <c r="F453" s="9"/>
      <c r="G453" s="9">
        <f t="shared" ca="1" si="43"/>
        <v>6478000</v>
      </c>
      <c r="H453" s="9">
        <f t="shared" ca="1" si="44"/>
        <v>1489940</v>
      </c>
      <c r="I453" s="9">
        <f t="shared" ca="1" si="45"/>
        <v>453460.00000000006</v>
      </c>
      <c r="J453" s="22">
        <f ca="1">IF(Salary[[#This Row],[پایه حقوق]]&lt;=5600000,0,(Salary[[#This Row],[پایه حقوق]]-5600000)*0.1)</f>
        <v>87800</v>
      </c>
      <c r="K453" s="16">
        <f t="shared" ca="1" si="46"/>
        <v>5936740</v>
      </c>
    </row>
    <row r="454" spans="1:11">
      <c r="A454" s="1">
        <v>9989349</v>
      </c>
      <c r="B454" s="7">
        <f t="shared" ca="1" si="42"/>
        <v>51</v>
      </c>
      <c r="C454" s="7">
        <f>MATCH(Salary[[#This Row],[ماه]],Calc!$A$16:$A$27,0)</f>
        <v>8</v>
      </c>
      <c r="D454" s="8" t="s">
        <v>93</v>
      </c>
      <c r="E454" s="9">
        <f t="shared" ca="1" si="47"/>
        <v>3947000</v>
      </c>
      <c r="F454" s="9"/>
      <c r="G454" s="9">
        <f t="shared" ca="1" si="43"/>
        <v>3947000</v>
      </c>
      <c r="H454" s="9">
        <f t="shared" ca="1" si="44"/>
        <v>907810</v>
      </c>
      <c r="I454" s="9">
        <f t="shared" ca="1" si="45"/>
        <v>276290</v>
      </c>
      <c r="J454" s="22">
        <f ca="1">IF(Salary[[#This Row],[پایه حقوق]]&lt;=5600000,0,(Salary[[#This Row],[پایه حقوق]]-5600000)*0.1)</f>
        <v>0</v>
      </c>
      <c r="K454" s="16">
        <f t="shared" ca="1" si="46"/>
        <v>3670710</v>
      </c>
    </row>
    <row r="455" spans="1:11">
      <c r="A455" s="1">
        <v>9989397</v>
      </c>
      <c r="B455" s="7">
        <f t="shared" ca="1" si="42"/>
        <v>89</v>
      </c>
      <c r="C455" s="7">
        <f>MATCH(Salary[[#This Row],[ماه]],Calc!$A$16:$A$27,0)</f>
        <v>8</v>
      </c>
      <c r="D455" s="8" t="s">
        <v>93</v>
      </c>
      <c r="E455" s="9">
        <f t="shared" ca="1" si="47"/>
        <v>4235000</v>
      </c>
      <c r="F455" s="9"/>
      <c r="G455" s="9">
        <f t="shared" ca="1" si="43"/>
        <v>4235000</v>
      </c>
      <c r="H455" s="9">
        <f t="shared" ca="1" si="44"/>
        <v>974050</v>
      </c>
      <c r="I455" s="9">
        <f t="shared" ca="1" si="45"/>
        <v>296450</v>
      </c>
      <c r="J455" s="22">
        <f ca="1">IF(Salary[[#This Row],[پایه حقوق]]&lt;=5600000,0,(Salary[[#This Row],[پایه حقوق]]-5600000)*0.1)</f>
        <v>0</v>
      </c>
      <c r="K455" s="16">
        <f t="shared" ca="1" si="46"/>
        <v>3938550</v>
      </c>
    </row>
    <row r="456" spans="1:11">
      <c r="A456" s="1">
        <v>9989445</v>
      </c>
      <c r="B456" s="7">
        <f t="shared" ca="1" si="42"/>
        <v>35</v>
      </c>
      <c r="C456" s="7">
        <f>MATCH(Salary[[#This Row],[ماه]],Calc!$A$16:$A$27,0)</f>
        <v>8</v>
      </c>
      <c r="D456" s="8" t="s">
        <v>93</v>
      </c>
      <c r="E456" s="9">
        <f t="shared" ca="1" si="47"/>
        <v>7883000</v>
      </c>
      <c r="F456" s="9"/>
      <c r="G456" s="9">
        <f t="shared" ca="1" si="43"/>
        <v>7883000</v>
      </c>
      <c r="H456" s="9">
        <f t="shared" ca="1" si="44"/>
        <v>1813090</v>
      </c>
      <c r="I456" s="9">
        <f t="shared" ca="1" si="45"/>
        <v>551810</v>
      </c>
      <c r="J456" s="22">
        <f ca="1">IF(Salary[[#This Row],[پایه حقوق]]&lt;=5600000,0,(Salary[[#This Row],[پایه حقوق]]-5600000)*0.1)</f>
        <v>228300</v>
      </c>
      <c r="K456" s="16">
        <f t="shared" ca="1" si="46"/>
        <v>7102890</v>
      </c>
    </row>
    <row r="457" spans="1:11">
      <c r="A457" s="1">
        <v>9989493</v>
      </c>
      <c r="B457" s="7">
        <f t="shared" ca="1" si="42"/>
        <v>73</v>
      </c>
      <c r="C457" s="7">
        <f>MATCH(Salary[[#This Row],[ماه]],Calc!$A$16:$A$27,0)</f>
        <v>8</v>
      </c>
      <c r="D457" s="8" t="s">
        <v>93</v>
      </c>
      <c r="E457" s="9">
        <f t="shared" ca="1" si="47"/>
        <v>9312000</v>
      </c>
      <c r="F457" s="9"/>
      <c r="G457" s="9">
        <f t="shared" ca="1" si="43"/>
        <v>9312000</v>
      </c>
      <c r="H457" s="9">
        <f t="shared" ca="1" si="44"/>
        <v>2141760</v>
      </c>
      <c r="I457" s="9">
        <f t="shared" ca="1" si="45"/>
        <v>651840.00000000012</v>
      </c>
      <c r="J457" s="22">
        <f ca="1">IF(Salary[[#This Row],[پایه حقوق]]&lt;=5600000,0,(Salary[[#This Row],[پایه حقوق]]-5600000)*0.1)</f>
        <v>371200</v>
      </c>
      <c r="K457" s="16">
        <f t="shared" ca="1" si="46"/>
        <v>8288960</v>
      </c>
    </row>
    <row r="458" spans="1:11">
      <c r="A458" s="1">
        <v>9989541</v>
      </c>
      <c r="B458" s="7">
        <f t="shared" ca="1" si="42"/>
        <v>96</v>
      </c>
      <c r="C458" s="7">
        <f>MATCH(Salary[[#This Row],[ماه]],Calc!$A$16:$A$27,0)</f>
        <v>8</v>
      </c>
      <c r="D458" s="8" t="s">
        <v>93</v>
      </c>
      <c r="E458" s="9">
        <f t="shared" ca="1" si="47"/>
        <v>14891000</v>
      </c>
      <c r="F458" s="9"/>
      <c r="G458" s="9">
        <f t="shared" ca="1" si="43"/>
        <v>14891000</v>
      </c>
      <c r="H458" s="9">
        <f t="shared" ca="1" si="44"/>
        <v>3424930</v>
      </c>
      <c r="I458" s="9">
        <f t="shared" ca="1" si="45"/>
        <v>1042370.0000000001</v>
      </c>
      <c r="J458" s="22">
        <f ca="1">IF(Salary[[#This Row],[پایه حقوق]]&lt;=5600000,0,(Salary[[#This Row],[پایه حقوق]]-5600000)*0.1)</f>
        <v>929100</v>
      </c>
      <c r="K458" s="16">
        <f t="shared" ca="1" si="46"/>
        <v>12919530</v>
      </c>
    </row>
    <row r="459" spans="1:11">
      <c r="A459" s="1">
        <v>9989589</v>
      </c>
      <c r="B459" s="7">
        <f t="shared" ca="1" si="42"/>
        <v>44</v>
      </c>
      <c r="C459" s="7">
        <f>MATCH(Salary[[#This Row],[ماه]],Calc!$A$16:$A$27,0)</f>
        <v>8</v>
      </c>
      <c r="D459" s="8" t="s">
        <v>93</v>
      </c>
      <c r="E459" s="9">
        <f t="shared" ca="1" si="47"/>
        <v>14403000</v>
      </c>
      <c r="F459" s="9"/>
      <c r="G459" s="9">
        <f t="shared" ca="1" si="43"/>
        <v>14403000</v>
      </c>
      <c r="H459" s="9">
        <f t="shared" ca="1" si="44"/>
        <v>3312690</v>
      </c>
      <c r="I459" s="9">
        <f t="shared" ca="1" si="45"/>
        <v>1008210.0000000001</v>
      </c>
      <c r="J459" s="22">
        <f ca="1">IF(Salary[[#This Row],[پایه حقوق]]&lt;=5600000,0,(Salary[[#This Row],[پایه حقوق]]-5600000)*0.1)</f>
        <v>880300</v>
      </c>
      <c r="K459" s="16">
        <f t="shared" ca="1" si="46"/>
        <v>12514490</v>
      </c>
    </row>
    <row r="460" spans="1:11">
      <c r="A460" s="1">
        <v>9989637</v>
      </c>
      <c r="B460" s="7">
        <f t="shared" ca="1" si="42"/>
        <v>43</v>
      </c>
      <c r="C460" s="7">
        <f>MATCH(Salary[[#This Row],[ماه]],Calc!$A$16:$A$27,0)</f>
        <v>8</v>
      </c>
      <c r="D460" s="8" t="s">
        <v>93</v>
      </c>
      <c r="E460" s="9">
        <f t="shared" ca="1" si="47"/>
        <v>3393000</v>
      </c>
      <c r="F460" s="9"/>
      <c r="G460" s="9">
        <f t="shared" ca="1" si="43"/>
        <v>3393000</v>
      </c>
      <c r="H460" s="9">
        <f t="shared" ca="1" si="44"/>
        <v>780390</v>
      </c>
      <c r="I460" s="9">
        <f t="shared" ca="1" si="45"/>
        <v>237510.00000000003</v>
      </c>
      <c r="J460" s="22">
        <f ca="1">IF(Salary[[#This Row],[پایه حقوق]]&lt;=5600000,0,(Salary[[#This Row],[پایه حقوق]]-5600000)*0.1)</f>
        <v>0</v>
      </c>
      <c r="K460" s="16">
        <f t="shared" ca="1" si="46"/>
        <v>3155490</v>
      </c>
    </row>
    <row r="461" spans="1:11">
      <c r="A461" s="1">
        <v>9989685</v>
      </c>
      <c r="B461" s="7">
        <f t="shared" ca="1" si="42"/>
        <v>33</v>
      </c>
      <c r="C461" s="7">
        <f>MATCH(Salary[[#This Row],[ماه]],Calc!$A$16:$A$27,0)</f>
        <v>8</v>
      </c>
      <c r="D461" s="8" t="s">
        <v>93</v>
      </c>
      <c r="E461" s="9">
        <f t="shared" ca="1" si="47"/>
        <v>11325000</v>
      </c>
      <c r="F461" s="9"/>
      <c r="G461" s="9">
        <f t="shared" ca="1" si="43"/>
        <v>11325000</v>
      </c>
      <c r="H461" s="9">
        <f t="shared" ca="1" si="44"/>
        <v>2604750</v>
      </c>
      <c r="I461" s="9">
        <f t="shared" ca="1" si="45"/>
        <v>792750.00000000012</v>
      </c>
      <c r="J461" s="22">
        <f ca="1">IF(Salary[[#This Row],[پایه حقوق]]&lt;=5600000,0,(Salary[[#This Row],[پایه حقوق]]-5600000)*0.1)</f>
        <v>572500</v>
      </c>
      <c r="K461" s="16">
        <f t="shared" ca="1" si="46"/>
        <v>9959750</v>
      </c>
    </row>
    <row r="462" spans="1:11">
      <c r="A462" s="1">
        <v>9989733</v>
      </c>
      <c r="B462" s="7">
        <f t="shared" ca="1" si="42"/>
        <v>49</v>
      </c>
      <c r="C462" s="7">
        <f>MATCH(Salary[[#This Row],[ماه]],Calc!$A$16:$A$27,0)</f>
        <v>8</v>
      </c>
      <c r="D462" s="8" t="s">
        <v>93</v>
      </c>
      <c r="E462" s="9">
        <f t="shared" ca="1" si="47"/>
        <v>9280000</v>
      </c>
      <c r="F462" s="9"/>
      <c r="G462" s="9">
        <f t="shared" ca="1" si="43"/>
        <v>9280000</v>
      </c>
      <c r="H462" s="9">
        <f t="shared" ca="1" si="44"/>
        <v>2134400</v>
      </c>
      <c r="I462" s="9">
        <f t="shared" ca="1" si="45"/>
        <v>649600.00000000012</v>
      </c>
      <c r="J462" s="22">
        <f ca="1">IF(Salary[[#This Row],[پایه حقوق]]&lt;=5600000,0,(Salary[[#This Row],[پایه حقوق]]-5600000)*0.1)</f>
        <v>368000</v>
      </c>
      <c r="K462" s="16">
        <f t="shared" ca="1" si="46"/>
        <v>8262400</v>
      </c>
    </row>
    <row r="463" spans="1:11">
      <c r="A463" s="1">
        <v>9989781</v>
      </c>
      <c r="B463" s="7">
        <f t="shared" ca="1" si="42"/>
        <v>63</v>
      </c>
      <c r="C463" s="7">
        <f>MATCH(Salary[[#This Row],[ماه]],Calc!$A$16:$A$27,0)</f>
        <v>8</v>
      </c>
      <c r="D463" s="8" t="s">
        <v>93</v>
      </c>
      <c r="E463" s="9">
        <f t="shared" ca="1" si="47"/>
        <v>10507000</v>
      </c>
      <c r="F463" s="9"/>
      <c r="G463" s="9">
        <f t="shared" ca="1" si="43"/>
        <v>10507000</v>
      </c>
      <c r="H463" s="9">
        <f t="shared" ca="1" si="44"/>
        <v>2416610</v>
      </c>
      <c r="I463" s="9">
        <f t="shared" ca="1" si="45"/>
        <v>735490.00000000012</v>
      </c>
      <c r="J463" s="22">
        <f ca="1">IF(Salary[[#This Row],[پایه حقوق]]&lt;=5600000,0,(Salary[[#This Row],[پایه حقوق]]-5600000)*0.1)</f>
        <v>490700</v>
      </c>
      <c r="K463" s="16">
        <f t="shared" ca="1" si="46"/>
        <v>9280810</v>
      </c>
    </row>
    <row r="464" spans="1:11">
      <c r="A464" s="1">
        <v>9989829</v>
      </c>
      <c r="B464" s="7">
        <f t="shared" ca="1" si="42"/>
        <v>94</v>
      </c>
      <c r="C464" s="7">
        <f>MATCH(Salary[[#This Row],[ماه]],Calc!$A$16:$A$27,0)</f>
        <v>8</v>
      </c>
      <c r="D464" s="8" t="s">
        <v>93</v>
      </c>
      <c r="E464" s="9">
        <f t="shared" ca="1" si="47"/>
        <v>4950000</v>
      </c>
      <c r="F464" s="9"/>
      <c r="G464" s="9">
        <f t="shared" ca="1" si="43"/>
        <v>4950000</v>
      </c>
      <c r="H464" s="9">
        <f t="shared" ca="1" si="44"/>
        <v>1138500</v>
      </c>
      <c r="I464" s="9">
        <f t="shared" ca="1" si="45"/>
        <v>346500.00000000006</v>
      </c>
      <c r="J464" s="22">
        <f ca="1">IF(Salary[[#This Row],[پایه حقوق]]&lt;=5600000,0,(Salary[[#This Row],[پایه حقوق]]-5600000)*0.1)</f>
        <v>0</v>
      </c>
      <c r="K464" s="16">
        <f t="shared" ca="1" si="46"/>
        <v>4603500</v>
      </c>
    </row>
    <row r="465" spans="1:11">
      <c r="A465" s="1">
        <v>9989877</v>
      </c>
      <c r="B465" s="7">
        <f t="shared" ca="1" si="42"/>
        <v>98</v>
      </c>
      <c r="C465" s="7">
        <f>MATCH(Salary[[#This Row],[ماه]],Calc!$A$16:$A$27,0)</f>
        <v>8</v>
      </c>
      <c r="D465" s="8" t="s">
        <v>93</v>
      </c>
      <c r="E465" s="9">
        <f t="shared" ca="1" si="47"/>
        <v>13471000</v>
      </c>
      <c r="F465" s="9"/>
      <c r="G465" s="9">
        <f t="shared" ca="1" si="43"/>
        <v>13471000</v>
      </c>
      <c r="H465" s="9">
        <f t="shared" ca="1" si="44"/>
        <v>3098330</v>
      </c>
      <c r="I465" s="9">
        <f t="shared" ca="1" si="45"/>
        <v>942970.00000000012</v>
      </c>
      <c r="J465" s="22">
        <f ca="1">IF(Salary[[#This Row],[پایه حقوق]]&lt;=5600000,0,(Salary[[#This Row],[پایه حقوق]]-5600000)*0.1)</f>
        <v>787100</v>
      </c>
      <c r="K465" s="16">
        <f t="shared" ca="1" si="46"/>
        <v>11740930</v>
      </c>
    </row>
    <row r="466" spans="1:11">
      <c r="A466" s="1">
        <v>9989925</v>
      </c>
      <c r="B466" s="7">
        <f t="shared" ca="1" si="42"/>
        <v>56</v>
      </c>
      <c r="C466" s="7">
        <f>MATCH(Salary[[#This Row],[ماه]],Calc!$A$16:$A$27,0)</f>
        <v>8</v>
      </c>
      <c r="D466" s="8" t="s">
        <v>93</v>
      </c>
      <c r="E466" s="9">
        <f t="shared" ca="1" si="47"/>
        <v>4773000</v>
      </c>
      <c r="F466" s="9"/>
      <c r="G466" s="9">
        <f t="shared" ca="1" si="43"/>
        <v>4773000</v>
      </c>
      <c r="H466" s="9">
        <f t="shared" ca="1" si="44"/>
        <v>1097790</v>
      </c>
      <c r="I466" s="9">
        <f t="shared" ca="1" si="45"/>
        <v>334110.00000000006</v>
      </c>
      <c r="J466" s="22">
        <f ca="1">IF(Salary[[#This Row],[پایه حقوق]]&lt;=5600000,0,(Salary[[#This Row],[پایه حقوق]]-5600000)*0.1)</f>
        <v>0</v>
      </c>
      <c r="K466" s="16">
        <f t="shared" ca="1" si="46"/>
        <v>4438890</v>
      </c>
    </row>
    <row r="467" spans="1:11">
      <c r="A467" s="1">
        <v>9989973</v>
      </c>
      <c r="B467" s="7">
        <f t="shared" ca="1" si="42"/>
        <v>46</v>
      </c>
      <c r="C467" s="7">
        <f>MATCH(Salary[[#This Row],[ماه]],Calc!$A$16:$A$27,0)</f>
        <v>8</v>
      </c>
      <c r="D467" s="8" t="s">
        <v>93</v>
      </c>
      <c r="E467" s="9">
        <f t="shared" ca="1" si="47"/>
        <v>12030000</v>
      </c>
      <c r="F467" s="9"/>
      <c r="G467" s="9">
        <f t="shared" ca="1" si="43"/>
        <v>12030000</v>
      </c>
      <c r="H467" s="9">
        <f t="shared" ca="1" si="44"/>
        <v>2766900</v>
      </c>
      <c r="I467" s="9">
        <f t="shared" ca="1" si="45"/>
        <v>842100.00000000012</v>
      </c>
      <c r="J467" s="22">
        <f ca="1">IF(Salary[[#This Row],[پایه حقوق]]&lt;=5600000,0,(Salary[[#This Row],[پایه حقوق]]-5600000)*0.1)</f>
        <v>643000</v>
      </c>
      <c r="K467" s="16">
        <f t="shared" ca="1" si="46"/>
        <v>10544900</v>
      </c>
    </row>
    <row r="468" spans="1:11">
      <c r="A468" s="1">
        <v>9990021</v>
      </c>
      <c r="B468" s="7">
        <f t="shared" ca="1" si="42"/>
        <v>32</v>
      </c>
      <c r="C468" s="7">
        <f>MATCH(Salary[[#This Row],[ماه]],Calc!$A$16:$A$27,0)</f>
        <v>8</v>
      </c>
      <c r="D468" s="8" t="s">
        <v>93</v>
      </c>
      <c r="E468" s="9">
        <f t="shared" ca="1" si="47"/>
        <v>3053000</v>
      </c>
      <c r="F468" s="9"/>
      <c r="G468" s="9">
        <f t="shared" ca="1" si="43"/>
        <v>3053000</v>
      </c>
      <c r="H468" s="9">
        <f t="shared" ca="1" si="44"/>
        <v>702190</v>
      </c>
      <c r="I468" s="9">
        <f t="shared" ca="1" si="45"/>
        <v>213710.00000000003</v>
      </c>
      <c r="J468" s="22">
        <f ca="1">IF(Salary[[#This Row],[پایه حقوق]]&lt;=5600000,0,(Salary[[#This Row],[پایه حقوق]]-5600000)*0.1)</f>
        <v>0</v>
      </c>
      <c r="K468" s="16">
        <f t="shared" ca="1" si="46"/>
        <v>2839290</v>
      </c>
    </row>
    <row r="469" spans="1:11">
      <c r="A469" s="1">
        <v>9990069</v>
      </c>
      <c r="B469" s="7">
        <f t="shared" ca="1" si="42"/>
        <v>83</v>
      </c>
      <c r="C469" s="7">
        <f>MATCH(Salary[[#This Row],[ماه]],Calc!$A$16:$A$27,0)</f>
        <v>8</v>
      </c>
      <c r="D469" s="8" t="s">
        <v>93</v>
      </c>
      <c r="E469" s="9">
        <f t="shared" ca="1" si="47"/>
        <v>3879000</v>
      </c>
      <c r="F469" s="9"/>
      <c r="G469" s="9">
        <f t="shared" ca="1" si="43"/>
        <v>3879000</v>
      </c>
      <c r="H469" s="9">
        <f t="shared" ca="1" si="44"/>
        <v>892170</v>
      </c>
      <c r="I469" s="9">
        <f t="shared" ca="1" si="45"/>
        <v>271530</v>
      </c>
      <c r="J469" s="22">
        <f ca="1">IF(Salary[[#This Row],[پایه حقوق]]&lt;=5600000,0,(Salary[[#This Row],[پایه حقوق]]-5600000)*0.1)</f>
        <v>0</v>
      </c>
      <c r="K469" s="16">
        <f t="shared" ca="1" si="46"/>
        <v>3607470</v>
      </c>
    </row>
    <row r="470" spans="1:11">
      <c r="A470" s="1">
        <v>9990117</v>
      </c>
      <c r="B470" s="7">
        <f t="shared" ca="1" si="42"/>
        <v>88</v>
      </c>
      <c r="C470" s="7">
        <f>MATCH(Salary[[#This Row],[ماه]],Calc!$A$16:$A$27,0)</f>
        <v>8</v>
      </c>
      <c r="D470" s="8" t="s">
        <v>93</v>
      </c>
      <c r="E470" s="9">
        <f t="shared" ca="1" si="47"/>
        <v>4477000</v>
      </c>
      <c r="F470" s="9"/>
      <c r="G470" s="9">
        <f t="shared" ca="1" si="43"/>
        <v>4477000</v>
      </c>
      <c r="H470" s="9">
        <f t="shared" ca="1" si="44"/>
        <v>1029710</v>
      </c>
      <c r="I470" s="9">
        <f t="shared" ca="1" si="45"/>
        <v>313390.00000000006</v>
      </c>
      <c r="J470" s="22">
        <f ca="1">IF(Salary[[#This Row],[پایه حقوق]]&lt;=5600000,0,(Salary[[#This Row],[پایه حقوق]]-5600000)*0.1)</f>
        <v>0</v>
      </c>
      <c r="K470" s="16">
        <f t="shared" ca="1" si="46"/>
        <v>4163610</v>
      </c>
    </row>
    <row r="471" spans="1:11">
      <c r="A471" s="1">
        <v>9990165</v>
      </c>
      <c r="B471" s="7">
        <f t="shared" ca="1" si="42"/>
        <v>47</v>
      </c>
      <c r="C471" s="7">
        <f>MATCH(Salary[[#This Row],[ماه]],Calc!$A$16:$A$27,0)</f>
        <v>8</v>
      </c>
      <c r="D471" s="8" t="s">
        <v>93</v>
      </c>
      <c r="E471" s="9">
        <f t="shared" ca="1" si="47"/>
        <v>12606000</v>
      </c>
      <c r="F471" s="9"/>
      <c r="G471" s="9">
        <f t="shared" ca="1" si="43"/>
        <v>12606000</v>
      </c>
      <c r="H471" s="9">
        <f t="shared" ca="1" si="44"/>
        <v>2899380</v>
      </c>
      <c r="I471" s="9">
        <f t="shared" ca="1" si="45"/>
        <v>882420.00000000012</v>
      </c>
      <c r="J471" s="22">
        <f ca="1">IF(Salary[[#This Row],[پایه حقوق]]&lt;=5600000,0,(Salary[[#This Row],[پایه حقوق]]-5600000)*0.1)</f>
        <v>700600</v>
      </c>
      <c r="K471" s="16">
        <f t="shared" ca="1" si="46"/>
        <v>11022980</v>
      </c>
    </row>
    <row r="472" spans="1:11">
      <c r="A472" s="1">
        <v>9990213</v>
      </c>
      <c r="B472" s="7">
        <f t="shared" ca="1" si="42"/>
        <v>59</v>
      </c>
      <c r="C472" s="7">
        <f>MATCH(Salary[[#This Row],[ماه]],Calc!$A$16:$A$27,0)</f>
        <v>8</v>
      </c>
      <c r="D472" s="8" t="s">
        <v>93</v>
      </c>
      <c r="E472" s="9">
        <f t="shared" ca="1" si="47"/>
        <v>10431000</v>
      </c>
      <c r="F472" s="9"/>
      <c r="G472" s="9">
        <f t="shared" ca="1" si="43"/>
        <v>10431000</v>
      </c>
      <c r="H472" s="9">
        <f t="shared" ca="1" si="44"/>
        <v>2399130</v>
      </c>
      <c r="I472" s="9">
        <f t="shared" ca="1" si="45"/>
        <v>730170.00000000012</v>
      </c>
      <c r="J472" s="22">
        <f ca="1">IF(Salary[[#This Row],[پایه حقوق]]&lt;=5600000,0,(Salary[[#This Row],[پایه حقوق]]-5600000)*0.1)</f>
        <v>483100</v>
      </c>
      <c r="K472" s="16">
        <f t="shared" ca="1" si="46"/>
        <v>9217730</v>
      </c>
    </row>
    <row r="473" spans="1:11">
      <c r="A473" s="1">
        <v>9990261</v>
      </c>
      <c r="B473" s="7">
        <f t="shared" ca="1" si="42"/>
        <v>46</v>
      </c>
      <c r="C473" s="7">
        <f>MATCH(Salary[[#This Row],[ماه]],Calc!$A$16:$A$27,0)</f>
        <v>8</v>
      </c>
      <c r="D473" s="8" t="s">
        <v>93</v>
      </c>
      <c r="E473" s="9">
        <f t="shared" ca="1" si="47"/>
        <v>6972000</v>
      </c>
      <c r="F473" s="9"/>
      <c r="G473" s="9">
        <f t="shared" ca="1" si="43"/>
        <v>6972000</v>
      </c>
      <c r="H473" s="9">
        <f t="shared" ca="1" si="44"/>
        <v>1603560</v>
      </c>
      <c r="I473" s="9">
        <f t="shared" ca="1" si="45"/>
        <v>488040.00000000006</v>
      </c>
      <c r="J473" s="22">
        <f ca="1">IF(Salary[[#This Row],[پایه حقوق]]&lt;=5600000,0,(Salary[[#This Row],[پایه حقوق]]-5600000)*0.1)</f>
        <v>137200</v>
      </c>
      <c r="K473" s="16">
        <f t="shared" ca="1" si="46"/>
        <v>6346760</v>
      </c>
    </row>
    <row r="474" spans="1:11">
      <c r="A474" s="1">
        <v>9990309</v>
      </c>
      <c r="B474" s="7">
        <f t="shared" ca="1" si="42"/>
        <v>62</v>
      </c>
      <c r="C474" s="7">
        <f>MATCH(Salary[[#This Row],[ماه]],Calc!$A$16:$A$27,0)</f>
        <v>8</v>
      </c>
      <c r="D474" s="8" t="s">
        <v>93</v>
      </c>
      <c r="E474" s="9">
        <f t="shared" ca="1" si="47"/>
        <v>5381000</v>
      </c>
      <c r="F474" s="9"/>
      <c r="G474" s="9">
        <f t="shared" ca="1" si="43"/>
        <v>5381000</v>
      </c>
      <c r="H474" s="9">
        <f t="shared" ca="1" si="44"/>
        <v>1237630</v>
      </c>
      <c r="I474" s="9">
        <f t="shared" ca="1" si="45"/>
        <v>376670.00000000006</v>
      </c>
      <c r="J474" s="22">
        <f ca="1">IF(Salary[[#This Row],[پایه حقوق]]&lt;=5600000,0,(Salary[[#This Row],[پایه حقوق]]-5600000)*0.1)</f>
        <v>0</v>
      </c>
      <c r="K474" s="16">
        <f t="shared" ca="1" si="46"/>
        <v>5004330</v>
      </c>
    </row>
    <row r="475" spans="1:11">
      <c r="A475" s="1">
        <v>9990357</v>
      </c>
      <c r="B475" s="7">
        <f t="shared" ca="1" si="42"/>
        <v>75</v>
      </c>
      <c r="C475" s="7">
        <f>MATCH(Salary[[#This Row],[ماه]],Calc!$A$16:$A$27,0)</f>
        <v>8</v>
      </c>
      <c r="D475" s="8" t="s">
        <v>93</v>
      </c>
      <c r="E475" s="9">
        <f t="shared" ca="1" si="47"/>
        <v>3450000</v>
      </c>
      <c r="F475" s="9"/>
      <c r="G475" s="9">
        <f t="shared" ca="1" si="43"/>
        <v>3450000</v>
      </c>
      <c r="H475" s="9">
        <f t="shared" ca="1" si="44"/>
        <v>793500</v>
      </c>
      <c r="I475" s="9">
        <f t="shared" ca="1" si="45"/>
        <v>241500.00000000003</v>
      </c>
      <c r="J475" s="22">
        <f ca="1">IF(Salary[[#This Row],[پایه حقوق]]&lt;=5600000,0,(Salary[[#This Row],[پایه حقوق]]-5600000)*0.1)</f>
        <v>0</v>
      </c>
      <c r="K475" s="16">
        <f t="shared" ca="1" si="46"/>
        <v>3208500</v>
      </c>
    </row>
    <row r="476" spans="1:11">
      <c r="A476" s="1">
        <v>9990405</v>
      </c>
      <c r="B476" s="7">
        <f t="shared" ca="1" si="42"/>
        <v>75</v>
      </c>
      <c r="C476" s="7">
        <f>MATCH(Salary[[#This Row],[ماه]],Calc!$A$16:$A$27,0)</f>
        <v>8</v>
      </c>
      <c r="D476" s="8" t="s">
        <v>93</v>
      </c>
      <c r="E476" s="9">
        <f t="shared" ca="1" si="47"/>
        <v>10682000</v>
      </c>
      <c r="F476" s="9"/>
      <c r="G476" s="9">
        <f t="shared" ca="1" si="43"/>
        <v>10682000</v>
      </c>
      <c r="H476" s="9">
        <f t="shared" ca="1" si="44"/>
        <v>2456860</v>
      </c>
      <c r="I476" s="9">
        <f t="shared" ca="1" si="45"/>
        <v>747740.00000000012</v>
      </c>
      <c r="J476" s="22">
        <f ca="1">IF(Salary[[#This Row],[پایه حقوق]]&lt;=5600000,0,(Salary[[#This Row],[پایه حقوق]]-5600000)*0.1)</f>
        <v>508200</v>
      </c>
      <c r="K476" s="16">
        <f t="shared" ca="1" si="46"/>
        <v>9426060</v>
      </c>
    </row>
    <row r="477" spans="1:11">
      <c r="A477" s="1">
        <v>9990453</v>
      </c>
      <c r="B477" s="7">
        <f t="shared" ca="1" si="42"/>
        <v>38</v>
      </c>
      <c r="C477" s="7">
        <f>MATCH(Salary[[#This Row],[ماه]],Calc!$A$16:$A$27,0)</f>
        <v>8</v>
      </c>
      <c r="D477" s="8" t="s">
        <v>93</v>
      </c>
      <c r="E477" s="9">
        <f t="shared" ca="1" si="47"/>
        <v>6221000</v>
      </c>
      <c r="F477" s="9"/>
      <c r="G477" s="9">
        <f t="shared" ca="1" si="43"/>
        <v>6221000</v>
      </c>
      <c r="H477" s="9">
        <f t="shared" ca="1" si="44"/>
        <v>1430830</v>
      </c>
      <c r="I477" s="9">
        <f t="shared" ca="1" si="45"/>
        <v>435470.00000000006</v>
      </c>
      <c r="J477" s="22">
        <f ca="1">IF(Salary[[#This Row],[پایه حقوق]]&lt;=5600000,0,(Salary[[#This Row],[پایه حقوق]]-5600000)*0.1)</f>
        <v>62100</v>
      </c>
      <c r="K477" s="16">
        <f t="shared" ca="1" si="46"/>
        <v>5723430</v>
      </c>
    </row>
    <row r="478" spans="1:11">
      <c r="A478" s="1">
        <v>9990501</v>
      </c>
      <c r="B478" s="7">
        <f t="shared" ca="1" si="42"/>
        <v>44</v>
      </c>
      <c r="C478" s="7">
        <f>MATCH(Salary[[#This Row],[ماه]],Calc!$A$16:$A$27,0)</f>
        <v>8</v>
      </c>
      <c r="D478" s="8" t="s">
        <v>93</v>
      </c>
      <c r="E478" s="9">
        <f t="shared" ca="1" si="47"/>
        <v>5724000</v>
      </c>
      <c r="F478" s="9"/>
      <c r="G478" s="9">
        <f t="shared" ca="1" si="43"/>
        <v>5724000</v>
      </c>
      <c r="H478" s="9">
        <f t="shared" ca="1" si="44"/>
        <v>1316520</v>
      </c>
      <c r="I478" s="9">
        <f t="shared" ca="1" si="45"/>
        <v>400680.00000000006</v>
      </c>
      <c r="J478" s="22">
        <f ca="1">IF(Salary[[#This Row],[پایه حقوق]]&lt;=5600000,0,(Salary[[#This Row],[پایه حقوق]]-5600000)*0.1)</f>
        <v>12400</v>
      </c>
      <c r="K478" s="16">
        <f t="shared" ca="1" si="46"/>
        <v>5310920</v>
      </c>
    </row>
    <row r="479" spans="1:11">
      <c r="A479" s="1">
        <v>9990549</v>
      </c>
      <c r="B479" s="7">
        <f t="shared" ca="1" si="42"/>
        <v>75</v>
      </c>
      <c r="C479" s="7">
        <f>MATCH(Salary[[#This Row],[ماه]],Calc!$A$16:$A$27,0)</f>
        <v>8</v>
      </c>
      <c r="D479" s="8" t="s">
        <v>93</v>
      </c>
      <c r="E479" s="9">
        <f t="shared" ca="1" si="47"/>
        <v>9626000</v>
      </c>
      <c r="F479" s="9"/>
      <c r="G479" s="9">
        <f t="shared" ca="1" si="43"/>
        <v>9626000</v>
      </c>
      <c r="H479" s="9">
        <f t="shared" ca="1" si="44"/>
        <v>2213980</v>
      </c>
      <c r="I479" s="9">
        <f t="shared" ca="1" si="45"/>
        <v>673820.00000000012</v>
      </c>
      <c r="J479" s="22">
        <f ca="1">IF(Salary[[#This Row],[پایه حقوق]]&lt;=5600000,0,(Salary[[#This Row],[پایه حقوق]]-5600000)*0.1)</f>
        <v>402600</v>
      </c>
      <c r="K479" s="16">
        <f t="shared" ca="1" si="46"/>
        <v>8549580</v>
      </c>
    </row>
    <row r="480" spans="1:11">
      <c r="A480" s="1">
        <v>9990597</v>
      </c>
      <c r="B480" s="7">
        <f t="shared" ca="1" si="42"/>
        <v>76</v>
      </c>
      <c r="C480" s="7">
        <f>MATCH(Salary[[#This Row],[ماه]],Calc!$A$16:$A$27,0)</f>
        <v>8</v>
      </c>
      <c r="D480" s="8" t="s">
        <v>93</v>
      </c>
      <c r="E480" s="9">
        <f t="shared" ca="1" si="47"/>
        <v>9718000</v>
      </c>
      <c r="F480" s="9"/>
      <c r="G480" s="9">
        <f t="shared" ca="1" si="43"/>
        <v>9718000</v>
      </c>
      <c r="H480" s="9">
        <f t="shared" ca="1" si="44"/>
        <v>2235140</v>
      </c>
      <c r="I480" s="9">
        <f t="shared" ca="1" si="45"/>
        <v>680260.00000000012</v>
      </c>
      <c r="J480" s="22">
        <f ca="1">IF(Salary[[#This Row],[پایه حقوق]]&lt;=5600000,0,(Salary[[#This Row],[پایه حقوق]]-5600000)*0.1)</f>
        <v>411800</v>
      </c>
      <c r="K480" s="16">
        <f t="shared" ca="1" si="46"/>
        <v>8625940</v>
      </c>
    </row>
    <row r="481" spans="1:11">
      <c r="A481" s="1">
        <v>9990645</v>
      </c>
      <c r="B481" s="7">
        <f t="shared" ca="1" si="42"/>
        <v>60</v>
      </c>
      <c r="C481" s="37">
        <f>MATCH(Salary[[#This Row],[ماه]],Calc!$A$16:$A$27,0)</f>
        <v>8</v>
      </c>
      <c r="D481" s="12" t="s">
        <v>93</v>
      </c>
      <c r="E481" s="9">
        <f t="shared" ca="1" si="47"/>
        <v>3186000</v>
      </c>
      <c r="F481" s="13"/>
      <c r="G481" s="13">
        <f t="shared" ca="1" si="43"/>
        <v>3186000</v>
      </c>
      <c r="H481" s="13">
        <f t="shared" ca="1" si="44"/>
        <v>732780</v>
      </c>
      <c r="I481" s="13">
        <f t="shared" ca="1" si="45"/>
        <v>223020.00000000003</v>
      </c>
      <c r="J481" s="22">
        <f ca="1">IF(Salary[[#This Row],[پایه حقوق]]&lt;=5600000,0,(Salary[[#This Row],[پایه حقوق]]-5600000)*0.1)</f>
        <v>0</v>
      </c>
      <c r="K481" s="18">
        <f t="shared" ca="1" si="46"/>
        <v>2962980</v>
      </c>
    </row>
    <row r="482" spans="1:11">
      <c r="A482" s="1">
        <v>9987656</v>
      </c>
      <c r="B482" s="7">
        <f t="shared" ca="1" si="42"/>
        <v>42</v>
      </c>
      <c r="C482" s="7">
        <f>MATCH(Salary[[#This Row],[ماه]],Calc!$A$16:$A$27,0)</f>
        <v>9</v>
      </c>
      <c r="D482" s="8" t="s">
        <v>94</v>
      </c>
      <c r="E482" s="9">
        <f t="shared" ca="1" si="47"/>
        <v>8054000</v>
      </c>
      <c r="F482" s="9">
        <f ca="1">0.7*E482</f>
        <v>5637800</v>
      </c>
      <c r="G482" s="9">
        <f t="shared" ca="1" si="43"/>
        <v>13691800</v>
      </c>
      <c r="H482" s="9">
        <f t="shared" ca="1" si="44"/>
        <v>1852420</v>
      </c>
      <c r="I482" s="9">
        <f t="shared" ca="1" si="45"/>
        <v>563780</v>
      </c>
      <c r="J482" s="22">
        <f ca="1">IF(Salary[[#This Row],[پایه حقوق]]&lt;=5600000,0,(Salary[[#This Row],[پایه حقوق]]-5600000)*0.1)</f>
        <v>245400</v>
      </c>
      <c r="K482" s="16">
        <f t="shared" ca="1" si="46"/>
        <v>12882620</v>
      </c>
    </row>
    <row r="483" spans="1:11">
      <c r="A483" s="1">
        <v>9987728</v>
      </c>
      <c r="B483" s="7">
        <f t="shared" ca="1" si="42"/>
        <v>81</v>
      </c>
      <c r="C483" s="7">
        <f>MATCH(Salary[[#This Row],[ماه]],Calc!$A$16:$A$27,0)</f>
        <v>9</v>
      </c>
      <c r="D483" s="8" t="s">
        <v>94</v>
      </c>
      <c r="E483" s="9">
        <f t="shared" ca="1" si="47"/>
        <v>11674000</v>
      </c>
      <c r="F483" s="9"/>
      <c r="G483" s="9">
        <f t="shared" ca="1" si="43"/>
        <v>11674000</v>
      </c>
      <c r="H483" s="9">
        <f t="shared" ca="1" si="44"/>
        <v>2685020</v>
      </c>
      <c r="I483" s="9">
        <f t="shared" ca="1" si="45"/>
        <v>817180.00000000012</v>
      </c>
      <c r="J483" s="22">
        <f ca="1">IF(Salary[[#This Row],[پایه حقوق]]&lt;=5600000,0,(Salary[[#This Row],[پایه حقوق]]-5600000)*0.1)</f>
        <v>607400</v>
      </c>
      <c r="K483" s="16">
        <f t="shared" ca="1" si="46"/>
        <v>10249420</v>
      </c>
    </row>
    <row r="484" spans="1:11">
      <c r="A484" s="1">
        <v>9987826</v>
      </c>
      <c r="B484" s="7">
        <f t="shared" ca="1" si="42"/>
        <v>60</v>
      </c>
      <c r="C484" s="7">
        <f>MATCH(Salary[[#This Row],[ماه]],Calc!$A$16:$A$27,0)</f>
        <v>9</v>
      </c>
      <c r="D484" s="8" t="s">
        <v>94</v>
      </c>
      <c r="E484" s="9">
        <f t="shared" ca="1" si="47"/>
        <v>8302000</v>
      </c>
      <c r="F484" s="9">
        <f ca="1">0.7*E484</f>
        <v>5811400</v>
      </c>
      <c r="G484" s="9">
        <f t="shared" ca="1" si="43"/>
        <v>14113400</v>
      </c>
      <c r="H484" s="9">
        <f t="shared" ca="1" si="44"/>
        <v>1909460</v>
      </c>
      <c r="I484" s="9">
        <f t="shared" ca="1" si="45"/>
        <v>581140</v>
      </c>
      <c r="J484" s="22">
        <f ca="1">IF(Salary[[#This Row],[پایه حقوق]]&lt;=5600000,0,(Salary[[#This Row],[پایه حقوق]]-5600000)*0.1)</f>
        <v>270200</v>
      </c>
      <c r="K484" s="16">
        <f t="shared" ca="1" si="46"/>
        <v>13262060</v>
      </c>
    </row>
    <row r="485" spans="1:11">
      <c r="A485" s="1">
        <v>9987915</v>
      </c>
      <c r="B485" s="7">
        <f t="shared" ca="1" si="42"/>
        <v>74</v>
      </c>
      <c r="C485" s="7">
        <f>MATCH(Salary[[#This Row],[ماه]],Calc!$A$16:$A$27,0)</f>
        <v>9</v>
      </c>
      <c r="D485" s="8" t="s">
        <v>94</v>
      </c>
      <c r="E485" s="9">
        <f t="shared" ca="1" si="47"/>
        <v>14459000</v>
      </c>
      <c r="F485" s="9">
        <f ca="1">0.7*E485</f>
        <v>10121300</v>
      </c>
      <c r="G485" s="9">
        <f t="shared" ca="1" si="43"/>
        <v>24580300</v>
      </c>
      <c r="H485" s="9">
        <f t="shared" ca="1" si="44"/>
        <v>3325570</v>
      </c>
      <c r="I485" s="9">
        <f t="shared" ca="1" si="45"/>
        <v>1012130.0000000001</v>
      </c>
      <c r="J485" s="22">
        <f ca="1">IF(Salary[[#This Row],[پایه حقوق]]&lt;=5600000,0,(Salary[[#This Row],[پایه حقوق]]-5600000)*0.1)</f>
        <v>885900</v>
      </c>
      <c r="K485" s="16">
        <f t="shared" ca="1" si="46"/>
        <v>22682270</v>
      </c>
    </row>
    <row r="486" spans="1:11">
      <c r="A486" s="1">
        <v>9987938</v>
      </c>
      <c r="B486" s="7">
        <f t="shared" ca="1" si="42"/>
        <v>34</v>
      </c>
      <c r="C486" s="7">
        <f>MATCH(Salary[[#This Row],[ماه]],Calc!$A$16:$A$27,0)</f>
        <v>9</v>
      </c>
      <c r="D486" s="8" t="s">
        <v>94</v>
      </c>
      <c r="E486" s="9">
        <f t="shared" ca="1" si="47"/>
        <v>14152000</v>
      </c>
      <c r="F486" s="9"/>
      <c r="G486" s="9">
        <f t="shared" ca="1" si="43"/>
        <v>14152000</v>
      </c>
      <c r="H486" s="9">
        <f t="shared" ca="1" si="44"/>
        <v>3254960</v>
      </c>
      <c r="I486" s="9">
        <f t="shared" ca="1" si="45"/>
        <v>990640.00000000012</v>
      </c>
      <c r="J486" s="22">
        <f ca="1">IF(Salary[[#This Row],[پایه حقوق]]&lt;=5600000,0,(Salary[[#This Row],[پایه حقوق]]-5600000)*0.1)</f>
        <v>855200</v>
      </c>
      <c r="K486" s="16">
        <f t="shared" ca="1" si="46"/>
        <v>12306160</v>
      </c>
    </row>
    <row r="487" spans="1:11">
      <c r="A487" s="1">
        <v>9988023</v>
      </c>
      <c r="B487" s="7">
        <f t="shared" ca="1" si="42"/>
        <v>68</v>
      </c>
      <c r="C487" s="7">
        <f>MATCH(Salary[[#This Row],[ماه]],Calc!$A$16:$A$27,0)</f>
        <v>9</v>
      </c>
      <c r="D487" s="8" t="s">
        <v>94</v>
      </c>
      <c r="E487" s="9">
        <f t="shared" ca="1" si="47"/>
        <v>11606000</v>
      </c>
      <c r="F487" s="9"/>
      <c r="G487" s="9">
        <f t="shared" ca="1" si="43"/>
        <v>11606000</v>
      </c>
      <c r="H487" s="9">
        <f t="shared" ca="1" si="44"/>
        <v>2669380</v>
      </c>
      <c r="I487" s="9">
        <f t="shared" ca="1" si="45"/>
        <v>812420.00000000012</v>
      </c>
      <c r="J487" s="22">
        <f ca="1">IF(Salary[[#This Row],[پایه حقوق]]&lt;=5600000,0,(Salary[[#This Row],[پایه حقوق]]-5600000)*0.1)</f>
        <v>600600</v>
      </c>
      <c r="K487" s="16">
        <f t="shared" ca="1" si="46"/>
        <v>10192980</v>
      </c>
    </row>
    <row r="488" spans="1:11">
      <c r="A488" s="1">
        <v>9988106</v>
      </c>
      <c r="B488" s="7">
        <f t="shared" ca="1" si="42"/>
        <v>87</v>
      </c>
      <c r="C488" s="7">
        <f>MATCH(Salary[[#This Row],[ماه]],Calc!$A$16:$A$27,0)</f>
        <v>9</v>
      </c>
      <c r="D488" s="8" t="s">
        <v>94</v>
      </c>
      <c r="E488" s="9">
        <f t="shared" ca="1" si="47"/>
        <v>11861000</v>
      </c>
      <c r="F488" s="9"/>
      <c r="G488" s="9">
        <f t="shared" ca="1" si="43"/>
        <v>11861000</v>
      </c>
      <c r="H488" s="9">
        <f t="shared" ca="1" si="44"/>
        <v>2728030</v>
      </c>
      <c r="I488" s="9">
        <f t="shared" ca="1" si="45"/>
        <v>830270.00000000012</v>
      </c>
      <c r="J488" s="22">
        <f ca="1">IF(Salary[[#This Row],[پایه حقوق]]&lt;=5600000,0,(Salary[[#This Row],[پایه حقوق]]-5600000)*0.1)</f>
        <v>626100</v>
      </c>
      <c r="K488" s="16">
        <f t="shared" ca="1" si="46"/>
        <v>10404630</v>
      </c>
    </row>
    <row r="489" spans="1:11">
      <c r="A489" s="1">
        <v>9988137</v>
      </c>
      <c r="B489" s="7">
        <f t="shared" ca="1" si="42"/>
        <v>96</v>
      </c>
      <c r="C489" s="7">
        <f>MATCH(Salary[[#This Row],[ماه]],Calc!$A$16:$A$27,0)</f>
        <v>9</v>
      </c>
      <c r="D489" s="8" t="s">
        <v>94</v>
      </c>
      <c r="E489" s="9">
        <f t="shared" ca="1" si="47"/>
        <v>3964000</v>
      </c>
      <c r="F489" s="9"/>
      <c r="G489" s="9">
        <f t="shared" ca="1" si="43"/>
        <v>3964000</v>
      </c>
      <c r="H489" s="9">
        <f t="shared" ca="1" si="44"/>
        <v>911720</v>
      </c>
      <c r="I489" s="9">
        <f t="shared" ca="1" si="45"/>
        <v>277480</v>
      </c>
      <c r="J489" s="22">
        <f ca="1">IF(Salary[[#This Row],[پایه حقوق]]&lt;=5600000,0,(Salary[[#This Row],[پایه حقوق]]-5600000)*0.1)</f>
        <v>0</v>
      </c>
      <c r="K489" s="16">
        <f t="shared" ca="1" si="46"/>
        <v>3686520</v>
      </c>
    </row>
    <row r="490" spans="1:11">
      <c r="A490" s="1">
        <v>9988165</v>
      </c>
      <c r="B490" s="7">
        <f t="shared" ca="1" si="42"/>
        <v>78</v>
      </c>
      <c r="C490" s="7">
        <f>MATCH(Salary[[#This Row],[ماه]],Calc!$A$16:$A$27,0)</f>
        <v>9</v>
      </c>
      <c r="D490" s="8" t="s">
        <v>94</v>
      </c>
      <c r="E490" s="9">
        <f t="shared" ca="1" si="47"/>
        <v>10075000</v>
      </c>
      <c r="F490" s="9"/>
      <c r="G490" s="9">
        <f t="shared" ca="1" si="43"/>
        <v>10075000</v>
      </c>
      <c r="H490" s="9">
        <f t="shared" ca="1" si="44"/>
        <v>2317250</v>
      </c>
      <c r="I490" s="9">
        <f t="shared" ca="1" si="45"/>
        <v>705250.00000000012</v>
      </c>
      <c r="J490" s="22">
        <f ca="1">IF(Salary[[#This Row],[پایه حقوق]]&lt;=5600000,0,(Salary[[#This Row],[پایه حقوق]]-5600000)*0.1)</f>
        <v>447500</v>
      </c>
      <c r="K490" s="16">
        <f t="shared" ca="1" si="46"/>
        <v>8922250</v>
      </c>
    </row>
    <row r="491" spans="1:11">
      <c r="A491" s="1">
        <v>9988236</v>
      </c>
      <c r="B491" s="7">
        <f t="shared" ca="1" si="42"/>
        <v>72</v>
      </c>
      <c r="C491" s="7">
        <f>MATCH(Salary[[#This Row],[ماه]],Calc!$A$16:$A$27,0)</f>
        <v>9</v>
      </c>
      <c r="D491" s="8" t="s">
        <v>94</v>
      </c>
      <c r="E491" s="9">
        <f t="shared" ca="1" si="47"/>
        <v>3053000</v>
      </c>
      <c r="F491" s="9"/>
      <c r="G491" s="9">
        <f t="shared" ca="1" si="43"/>
        <v>3053000</v>
      </c>
      <c r="H491" s="9">
        <f t="shared" ca="1" si="44"/>
        <v>702190</v>
      </c>
      <c r="I491" s="9">
        <f t="shared" ca="1" si="45"/>
        <v>213710.00000000003</v>
      </c>
      <c r="J491" s="22">
        <f ca="1">IF(Salary[[#This Row],[پایه حقوق]]&lt;=5600000,0,(Salary[[#This Row],[پایه حقوق]]-5600000)*0.1)</f>
        <v>0</v>
      </c>
      <c r="K491" s="16">
        <f t="shared" ca="1" si="46"/>
        <v>2839290</v>
      </c>
    </row>
    <row r="492" spans="1:11">
      <c r="A492" s="1">
        <v>9988277</v>
      </c>
      <c r="B492" s="7">
        <f t="shared" ca="1" si="42"/>
        <v>42</v>
      </c>
      <c r="C492" s="7">
        <f>MATCH(Salary[[#This Row],[ماه]],Calc!$A$16:$A$27,0)</f>
        <v>9</v>
      </c>
      <c r="D492" s="8" t="s">
        <v>94</v>
      </c>
      <c r="E492" s="9">
        <f t="shared" ca="1" si="47"/>
        <v>5508000</v>
      </c>
      <c r="F492" s="9"/>
      <c r="G492" s="9">
        <f t="shared" ca="1" si="43"/>
        <v>5508000</v>
      </c>
      <c r="H492" s="9">
        <f t="shared" ca="1" si="44"/>
        <v>1266840</v>
      </c>
      <c r="I492" s="9">
        <f t="shared" ca="1" si="45"/>
        <v>385560.00000000006</v>
      </c>
      <c r="J492" s="22">
        <f ca="1">IF(Salary[[#This Row],[پایه حقوق]]&lt;=5600000,0,(Salary[[#This Row],[پایه حقوق]]-5600000)*0.1)</f>
        <v>0</v>
      </c>
      <c r="K492" s="16">
        <f t="shared" ca="1" si="46"/>
        <v>5122440</v>
      </c>
    </row>
    <row r="493" spans="1:11">
      <c r="A493" s="1">
        <v>9988371</v>
      </c>
      <c r="B493" s="7">
        <f t="shared" ca="1" si="42"/>
        <v>90</v>
      </c>
      <c r="C493" s="7">
        <f>MATCH(Salary[[#This Row],[ماه]],Calc!$A$16:$A$27,0)</f>
        <v>9</v>
      </c>
      <c r="D493" s="8" t="s">
        <v>94</v>
      </c>
      <c r="E493" s="9">
        <f t="shared" ca="1" si="47"/>
        <v>14526000</v>
      </c>
      <c r="F493" s="9"/>
      <c r="G493" s="9">
        <f t="shared" ca="1" si="43"/>
        <v>14526000</v>
      </c>
      <c r="H493" s="9">
        <f t="shared" ca="1" si="44"/>
        <v>3340980</v>
      </c>
      <c r="I493" s="9">
        <f t="shared" ca="1" si="45"/>
        <v>1016820.0000000001</v>
      </c>
      <c r="J493" s="22">
        <f ca="1">IF(Salary[[#This Row],[پایه حقوق]]&lt;=5600000,0,(Salary[[#This Row],[پایه حقوق]]-5600000)*0.1)</f>
        <v>892600</v>
      </c>
      <c r="K493" s="16">
        <f t="shared" ca="1" si="46"/>
        <v>12616580</v>
      </c>
    </row>
    <row r="494" spans="1:11">
      <c r="A494" s="1">
        <v>9988393</v>
      </c>
      <c r="B494" s="7">
        <f t="shared" ca="1" si="42"/>
        <v>38</v>
      </c>
      <c r="C494" s="7">
        <f>MATCH(Salary[[#This Row],[ماه]],Calc!$A$16:$A$27,0)</f>
        <v>9</v>
      </c>
      <c r="D494" s="8" t="s">
        <v>94</v>
      </c>
      <c r="E494" s="9">
        <f t="shared" ca="1" si="47"/>
        <v>6764000</v>
      </c>
      <c r="F494" s="9"/>
      <c r="G494" s="9">
        <f t="shared" ca="1" si="43"/>
        <v>6764000</v>
      </c>
      <c r="H494" s="9">
        <f t="shared" ca="1" si="44"/>
        <v>1555720</v>
      </c>
      <c r="I494" s="9">
        <f t="shared" ca="1" si="45"/>
        <v>473480.00000000006</v>
      </c>
      <c r="J494" s="22">
        <f ca="1">IF(Salary[[#This Row],[پایه حقوق]]&lt;=5600000,0,(Salary[[#This Row],[پایه حقوق]]-5600000)*0.1)</f>
        <v>116400</v>
      </c>
      <c r="K494" s="16">
        <f t="shared" ca="1" si="46"/>
        <v>6174120</v>
      </c>
    </row>
    <row r="495" spans="1:11">
      <c r="A495" s="1">
        <v>9988453</v>
      </c>
      <c r="B495" s="7">
        <f t="shared" ca="1" si="42"/>
        <v>43</v>
      </c>
      <c r="C495" s="7">
        <f>MATCH(Salary[[#This Row],[ماه]],Calc!$A$16:$A$27,0)</f>
        <v>9</v>
      </c>
      <c r="D495" s="8" t="s">
        <v>94</v>
      </c>
      <c r="E495" s="9">
        <f t="shared" ca="1" si="47"/>
        <v>10475000</v>
      </c>
      <c r="F495" s="9">
        <f ca="1">0.7*E495</f>
        <v>7332500</v>
      </c>
      <c r="G495" s="9">
        <f t="shared" ca="1" si="43"/>
        <v>17807500</v>
      </c>
      <c r="H495" s="9">
        <f t="shared" ca="1" si="44"/>
        <v>2409250</v>
      </c>
      <c r="I495" s="9">
        <f t="shared" ca="1" si="45"/>
        <v>733250.00000000012</v>
      </c>
      <c r="J495" s="22">
        <f ca="1">IF(Salary[[#This Row],[پایه حقوق]]&lt;=5600000,0,(Salary[[#This Row],[پایه حقوق]]-5600000)*0.1)</f>
        <v>487500</v>
      </c>
      <c r="K495" s="16">
        <f t="shared" ca="1" si="46"/>
        <v>16586750</v>
      </c>
    </row>
    <row r="496" spans="1:11">
      <c r="A496" s="1">
        <v>9988492</v>
      </c>
      <c r="B496" s="7">
        <f t="shared" ca="1" si="42"/>
        <v>48</v>
      </c>
      <c r="C496" s="7">
        <f>MATCH(Salary[[#This Row],[ماه]],Calc!$A$16:$A$27,0)</f>
        <v>9</v>
      </c>
      <c r="D496" s="8" t="s">
        <v>94</v>
      </c>
      <c r="E496" s="9">
        <f t="shared" ca="1" si="47"/>
        <v>9603000</v>
      </c>
      <c r="F496" s="9"/>
      <c r="G496" s="9">
        <f t="shared" ca="1" si="43"/>
        <v>9603000</v>
      </c>
      <c r="H496" s="9">
        <f t="shared" ca="1" si="44"/>
        <v>2208690</v>
      </c>
      <c r="I496" s="9">
        <f t="shared" ca="1" si="45"/>
        <v>672210.00000000012</v>
      </c>
      <c r="J496" s="22">
        <f ca="1">IF(Salary[[#This Row],[پایه حقوق]]&lt;=5600000,0,(Salary[[#This Row],[پایه حقوق]]-5600000)*0.1)</f>
        <v>400300</v>
      </c>
      <c r="K496" s="16">
        <f t="shared" ca="1" si="46"/>
        <v>8530490</v>
      </c>
    </row>
    <row r="497" spans="1:11">
      <c r="A497" s="1">
        <v>9988572</v>
      </c>
      <c r="B497" s="7">
        <f t="shared" ca="1" si="42"/>
        <v>33</v>
      </c>
      <c r="C497" s="7">
        <f>MATCH(Salary[[#This Row],[ماه]],Calc!$A$16:$A$27,0)</f>
        <v>9</v>
      </c>
      <c r="D497" s="8" t="s">
        <v>94</v>
      </c>
      <c r="E497" s="9">
        <f t="shared" ca="1" si="47"/>
        <v>3961000</v>
      </c>
      <c r="F497" s="9"/>
      <c r="G497" s="9">
        <f t="shared" ca="1" si="43"/>
        <v>3961000</v>
      </c>
      <c r="H497" s="9">
        <f t="shared" ca="1" si="44"/>
        <v>911030</v>
      </c>
      <c r="I497" s="9">
        <f t="shared" ca="1" si="45"/>
        <v>277270</v>
      </c>
      <c r="J497" s="22">
        <f ca="1">IF(Salary[[#This Row],[پایه حقوق]]&lt;=5600000,0,(Salary[[#This Row],[پایه حقوق]]-5600000)*0.1)</f>
        <v>0</v>
      </c>
      <c r="K497" s="16">
        <f t="shared" ca="1" si="46"/>
        <v>3683730</v>
      </c>
    </row>
    <row r="498" spans="1:11">
      <c r="A498" s="1">
        <v>9988618</v>
      </c>
      <c r="B498" s="7">
        <f t="shared" ca="1" si="42"/>
        <v>58</v>
      </c>
      <c r="C498" s="7">
        <f>MATCH(Salary[[#This Row],[ماه]],Calc!$A$16:$A$27,0)</f>
        <v>9</v>
      </c>
      <c r="D498" s="8" t="s">
        <v>94</v>
      </c>
      <c r="E498" s="9">
        <f t="shared" ca="1" si="47"/>
        <v>14157000</v>
      </c>
      <c r="F498" s="9"/>
      <c r="G498" s="9">
        <f t="shared" ca="1" si="43"/>
        <v>14157000</v>
      </c>
      <c r="H498" s="9">
        <f t="shared" ca="1" si="44"/>
        <v>3256110</v>
      </c>
      <c r="I498" s="9">
        <f t="shared" ca="1" si="45"/>
        <v>990990.00000000012</v>
      </c>
      <c r="J498" s="22">
        <f ca="1">IF(Salary[[#This Row],[پایه حقوق]]&lt;=5600000,0,(Salary[[#This Row],[پایه حقوق]]-5600000)*0.1)</f>
        <v>855700</v>
      </c>
      <c r="K498" s="16">
        <f t="shared" ca="1" si="46"/>
        <v>12310310</v>
      </c>
    </row>
    <row r="499" spans="1:11">
      <c r="A499" s="1">
        <v>9988657</v>
      </c>
      <c r="B499" s="7">
        <f t="shared" ca="1" si="42"/>
        <v>97</v>
      </c>
      <c r="C499" s="7">
        <f>MATCH(Salary[[#This Row],[ماه]],Calc!$A$16:$A$27,0)</f>
        <v>9</v>
      </c>
      <c r="D499" s="8" t="s">
        <v>94</v>
      </c>
      <c r="E499" s="9">
        <f t="shared" ca="1" si="47"/>
        <v>9005000</v>
      </c>
      <c r="F499" s="9"/>
      <c r="G499" s="9">
        <f t="shared" ca="1" si="43"/>
        <v>9005000</v>
      </c>
      <c r="H499" s="9">
        <f t="shared" ca="1" si="44"/>
        <v>2071150</v>
      </c>
      <c r="I499" s="9">
        <f t="shared" ca="1" si="45"/>
        <v>630350.00000000012</v>
      </c>
      <c r="J499" s="22">
        <f ca="1">IF(Salary[[#This Row],[پایه حقوق]]&lt;=5600000,0,(Salary[[#This Row],[پایه حقوق]]-5600000)*0.1)</f>
        <v>340500</v>
      </c>
      <c r="K499" s="16">
        <f t="shared" ca="1" si="46"/>
        <v>8034150</v>
      </c>
    </row>
    <row r="500" spans="1:11">
      <c r="A500" s="1">
        <v>9988677</v>
      </c>
      <c r="B500" s="7">
        <f t="shared" ca="1" si="42"/>
        <v>90</v>
      </c>
      <c r="C500" s="7">
        <f>MATCH(Salary[[#This Row],[ماه]],Calc!$A$16:$A$27,0)</f>
        <v>9</v>
      </c>
      <c r="D500" s="8" t="s">
        <v>94</v>
      </c>
      <c r="E500" s="9">
        <f t="shared" ca="1" si="47"/>
        <v>13628000</v>
      </c>
      <c r="F500" s="9"/>
      <c r="G500" s="9">
        <f t="shared" ca="1" si="43"/>
        <v>13628000</v>
      </c>
      <c r="H500" s="9">
        <f t="shared" ca="1" si="44"/>
        <v>3134440</v>
      </c>
      <c r="I500" s="9">
        <f t="shared" ca="1" si="45"/>
        <v>953960.00000000012</v>
      </c>
      <c r="J500" s="22">
        <f ca="1">IF(Salary[[#This Row],[پایه حقوق]]&lt;=5600000,0,(Salary[[#This Row],[پایه حقوق]]-5600000)*0.1)</f>
        <v>802800</v>
      </c>
      <c r="K500" s="16">
        <f t="shared" ca="1" si="46"/>
        <v>11871240</v>
      </c>
    </row>
    <row r="501" spans="1:11">
      <c r="A501" s="1">
        <v>9988725</v>
      </c>
      <c r="B501" s="7">
        <f t="shared" ca="1" si="42"/>
        <v>32</v>
      </c>
      <c r="C501" s="7">
        <f>MATCH(Salary[[#This Row],[ماه]],Calc!$A$16:$A$27,0)</f>
        <v>9</v>
      </c>
      <c r="D501" s="8" t="s">
        <v>94</v>
      </c>
      <c r="E501" s="9">
        <f t="shared" ca="1" si="47"/>
        <v>6963000</v>
      </c>
      <c r="F501" s="9"/>
      <c r="G501" s="9">
        <f t="shared" ca="1" si="43"/>
        <v>6963000</v>
      </c>
      <c r="H501" s="9">
        <f t="shared" ca="1" si="44"/>
        <v>1601490</v>
      </c>
      <c r="I501" s="9">
        <f t="shared" ca="1" si="45"/>
        <v>487410.00000000006</v>
      </c>
      <c r="J501" s="22">
        <f ca="1">IF(Salary[[#This Row],[پایه حقوق]]&lt;=5600000,0,(Salary[[#This Row],[پایه حقوق]]-5600000)*0.1)</f>
        <v>136300</v>
      </c>
      <c r="K501" s="16">
        <f t="shared" ca="1" si="46"/>
        <v>6339290</v>
      </c>
    </row>
    <row r="502" spans="1:11">
      <c r="A502" s="1">
        <v>9988773</v>
      </c>
      <c r="B502" s="7">
        <f t="shared" ca="1" si="42"/>
        <v>41</v>
      </c>
      <c r="C502" s="7">
        <f>MATCH(Salary[[#This Row],[ماه]],Calc!$A$16:$A$27,0)</f>
        <v>9</v>
      </c>
      <c r="D502" s="8" t="s">
        <v>94</v>
      </c>
      <c r="E502" s="9">
        <f t="shared" ca="1" si="47"/>
        <v>4289000</v>
      </c>
      <c r="F502" s="9"/>
      <c r="G502" s="9">
        <f t="shared" ca="1" si="43"/>
        <v>4289000</v>
      </c>
      <c r="H502" s="9">
        <f t="shared" ca="1" si="44"/>
        <v>986470</v>
      </c>
      <c r="I502" s="9">
        <f t="shared" ca="1" si="45"/>
        <v>300230</v>
      </c>
      <c r="J502" s="22">
        <f ca="1">IF(Salary[[#This Row],[پایه حقوق]]&lt;=5600000,0,(Salary[[#This Row],[پایه حقوق]]-5600000)*0.1)</f>
        <v>0</v>
      </c>
      <c r="K502" s="16">
        <f t="shared" ca="1" si="46"/>
        <v>3988770</v>
      </c>
    </row>
    <row r="503" spans="1:11">
      <c r="A503" s="1">
        <v>9988821</v>
      </c>
      <c r="B503" s="7">
        <f t="shared" ca="1" si="42"/>
        <v>47</v>
      </c>
      <c r="C503" s="7">
        <f>MATCH(Salary[[#This Row],[ماه]],Calc!$A$16:$A$27,0)</f>
        <v>9</v>
      </c>
      <c r="D503" s="8" t="s">
        <v>94</v>
      </c>
      <c r="E503" s="9">
        <f t="shared" ca="1" si="47"/>
        <v>3365000</v>
      </c>
      <c r="F503" s="9"/>
      <c r="G503" s="9">
        <f t="shared" ca="1" si="43"/>
        <v>3365000</v>
      </c>
      <c r="H503" s="9">
        <f t="shared" ca="1" si="44"/>
        <v>773950</v>
      </c>
      <c r="I503" s="9">
        <f t="shared" ca="1" si="45"/>
        <v>235550.00000000003</v>
      </c>
      <c r="J503" s="22">
        <f ca="1">IF(Salary[[#This Row],[پایه حقوق]]&lt;=5600000,0,(Salary[[#This Row],[پایه حقوق]]-5600000)*0.1)</f>
        <v>0</v>
      </c>
      <c r="K503" s="16">
        <f t="shared" ca="1" si="46"/>
        <v>3129450</v>
      </c>
    </row>
    <row r="504" spans="1:11">
      <c r="A504" s="1">
        <v>9988869</v>
      </c>
      <c r="B504" s="7">
        <f t="shared" ca="1" si="42"/>
        <v>33</v>
      </c>
      <c r="C504" s="7">
        <f>MATCH(Salary[[#This Row],[ماه]],Calc!$A$16:$A$27,0)</f>
        <v>9</v>
      </c>
      <c r="D504" s="8" t="s">
        <v>94</v>
      </c>
      <c r="E504" s="9">
        <f t="shared" ca="1" si="47"/>
        <v>13862000</v>
      </c>
      <c r="F504" s="9"/>
      <c r="G504" s="9">
        <f t="shared" ca="1" si="43"/>
        <v>13862000</v>
      </c>
      <c r="H504" s="9">
        <f t="shared" ca="1" si="44"/>
        <v>3188260</v>
      </c>
      <c r="I504" s="9">
        <f t="shared" ca="1" si="45"/>
        <v>970340.00000000012</v>
      </c>
      <c r="J504" s="22">
        <f ca="1">IF(Salary[[#This Row],[پایه حقوق]]&lt;=5600000,0,(Salary[[#This Row],[پایه حقوق]]-5600000)*0.1)</f>
        <v>826200</v>
      </c>
      <c r="K504" s="16">
        <f t="shared" ca="1" si="46"/>
        <v>12065460</v>
      </c>
    </row>
    <row r="505" spans="1:11">
      <c r="A505" s="1">
        <v>9988917</v>
      </c>
      <c r="B505" s="7">
        <f t="shared" ca="1" si="42"/>
        <v>37</v>
      </c>
      <c r="C505" s="7">
        <f>MATCH(Salary[[#This Row],[ماه]],Calc!$A$16:$A$27,0)</f>
        <v>9</v>
      </c>
      <c r="D505" s="8" t="s">
        <v>94</v>
      </c>
      <c r="E505" s="9">
        <f t="shared" ca="1" si="47"/>
        <v>8092000</v>
      </c>
      <c r="F505" s="9"/>
      <c r="G505" s="9">
        <f t="shared" ca="1" si="43"/>
        <v>8092000</v>
      </c>
      <c r="H505" s="9">
        <f t="shared" ca="1" si="44"/>
        <v>1861160</v>
      </c>
      <c r="I505" s="9">
        <f t="shared" ca="1" si="45"/>
        <v>566440</v>
      </c>
      <c r="J505" s="22">
        <f ca="1">IF(Salary[[#This Row],[پایه حقوق]]&lt;=5600000,0,(Salary[[#This Row],[پایه حقوق]]-5600000)*0.1)</f>
        <v>249200</v>
      </c>
      <c r="K505" s="16">
        <f t="shared" ca="1" si="46"/>
        <v>7276360</v>
      </c>
    </row>
    <row r="506" spans="1:11">
      <c r="A506" s="1">
        <v>9988965</v>
      </c>
      <c r="B506" s="7">
        <f t="shared" ca="1" si="42"/>
        <v>57</v>
      </c>
      <c r="C506" s="7">
        <f>MATCH(Salary[[#This Row],[ماه]],Calc!$A$16:$A$27,0)</f>
        <v>9</v>
      </c>
      <c r="D506" s="8" t="s">
        <v>94</v>
      </c>
      <c r="E506" s="9">
        <f t="shared" ca="1" si="47"/>
        <v>10776000</v>
      </c>
      <c r="F506" s="9"/>
      <c r="G506" s="9">
        <f t="shared" ca="1" si="43"/>
        <v>10776000</v>
      </c>
      <c r="H506" s="9">
        <f t="shared" ca="1" si="44"/>
        <v>2478480</v>
      </c>
      <c r="I506" s="9">
        <f t="shared" ca="1" si="45"/>
        <v>754320.00000000012</v>
      </c>
      <c r="J506" s="22">
        <f ca="1">IF(Salary[[#This Row],[پایه حقوق]]&lt;=5600000,0,(Salary[[#This Row],[پایه حقوق]]-5600000)*0.1)</f>
        <v>517600</v>
      </c>
      <c r="K506" s="16">
        <f t="shared" ca="1" si="46"/>
        <v>9504080</v>
      </c>
    </row>
    <row r="507" spans="1:11">
      <c r="A507" s="1">
        <v>9989013</v>
      </c>
      <c r="B507" s="7">
        <f t="shared" ca="1" si="42"/>
        <v>48</v>
      </c>
      <c r="C507" s="7">
        <f>MATCH(Salary[[#This Row],[ماه]],Calc!$A$16:$A$27,0)</f>
        <v>9</v>
      </c>
      <c r="D507" s="8" t="s">
        <v>94</v>
      </c>
      <c r="E507" s="9">
        <f t="shared" ca="1" si="47"/>
        <v>6236000</v>
      </c>
      <c r="F507" s="9"/>
      <c r="G507" s="9">
        <f t="shared" ca="1" si="43"/>
        <v>6236000</v>
      </c>
      <c r="H507" s="9">
        <f t="shared" ca="1" si="44"/>
        <v>1434280</v>
      </c>
      <c r="I507" s="9">
        <f t="shared" ca="1" si="45"/>
        <v>436520.00000000006</v>
      </c>
      <c r="J507" s="22">
        <f ca="1">IF(Salary[[#This Row],[پایه حقوق]]&lt;=5600000,0,(Salary[[#This Row],[پایه حقوق]]-5600000)*0.1)</f>
        <v>63600</v>
      </c>
      <c r="K507" s="16">
        <f t="shared" ca="1" si="46"/>
        <v>5735880</v>
      </c>
    </row>
    <row r="508" spans="1:11">
      <c r="A508" s="1">
        <v>9989061</v>
      </c>
      <c r="B508" s="7">
        <f t="shared" ca="1" si="42"/>
        <v>61</v>
      </c>
      <c r="C508" s="7">
        <f>MATCH(Salary[[#This Row],[ماه]],Calc!$A$16:$A$27,0)</f>
        <v>9</v>
      </c>
      <c r="D508" s="8" t="s">
        <v>94</v>
      </c>
      <c r="E508" s="9">
        <f t="shared" ca="1" si="47"/>
        <v>8943000</v>
      </c>
      <c r="F508" s="9"/>
      <c r="G508" s="9">
        <f t="shared" ca="1" si="43"/>
        <v>8943000</v>
      </c>
      <c r="H508" s="9">
        <f t="shared" ca="1" si="44"/>
        <v>2056890</v>
      </c>
      <c r="I508" s="9">
        <f t="shared" ca="1" si="45"/>
        <v>626010.00000000012</v>
      </c>
      <c r="J508" s="22">
        <f ca="1">IF(Salary[[#This Row],[پایه حقوق]]&lt;=5600000,0,(Salary[[#This Row],[پایه حقوق]]-5600000)*0.1)</f>
        <v>334300</v>
      </c>
      <c r="K508" s="16">
        <f t="shared" ca="1" si="46"/>
        <v>7982690</v>
      </c>
    </row>
    <row r="509" spans="1:11">
      <c r="A509" s="1">
        <v>9989109</v>
      </c>
      <c r="B509" s="7">
        <f t="shared" ca="1" si="42"/>
        <v>91</v>
      </c>
      <c r="C509" s="7">
        <f>MATCH(Salary[[#This Row],[ماه]],Calc!$A$16:$A$27,0)</f>
        <v>9</v>
      </c>
      <c r="D509" s="8" t="s">
        <v>94</v>
      </c>
      <c r="E509" s="9">
        <f t="shared" ca="1" si="47"/>
        <v>5255000</v>
      </c>
      <c r="F509" s="9"/>
      <c r="G509" s="9">
        <f t="shared" ca="1" si="43"/>
        <v>5255000</v>
      </c>
      <c r="H509" s="9">
        <f t="shared" ca="1" si="44"/>
        <v>1208650</v>
      </c>
      <c r="I509" s="9">
        <f t="shared" ca="1" si="45"/>
        <v>367850.00000000006</v>
      </c>
      <c r="J509" s="22">
        <f ca="1">IF(Salary[[#This Row],[پایه حقوق]]&lt;=5600000,0,(Salary[[#This Row],[پایه حقوق]]-5600000)*0.1)</f>
        <v>0</v>
      </c>
      <c r="K509" s="16">
        <f t="shared" ca="1" si="46"/>
        <v>4887150</v>
      </c>
    </row>
    <row r="510" spans="1:11">
      <c r="A510" s="1">
        <v>9989157</v>
      </c>
      <c r="B510" s="7">
        <f t="shared" ca="1" si="42"/>
        <v>75</v>
      </c>
      <c r="C510" s="7">
        <f>MATCH(Salary[[#This Row],[ماه]],Calc!$A$16:$A$27,0)</f>
        <v>9</v>
      </c>
      <c r="D510" s="8" t="s">
        <v>94</v>
      </c>
      <c r="E510" s="9">
        <f t="shared" ca="1" si="47"/>
        <v>6699000</v>
      </c>
      <c r="F510" s="9"/>
      <c r="G510" s="9">
        <f t="shared" ca="1" si="43"/>
        <v>6699000</v>
      </c>
      <c r="H510" s="9">
        <f t="shared" ca="1" si="44"/>
        <v>1540770</v>
      </c>
      <c r="I510" s="9">
        <f t="shared" ca="1" si="45"/>
        <v>468930.00000000006</v>
      </c>
      <c r="J510" s="22">
        <f ca="1">IF(Salary[[#This Row],[پایه حقوق]]&lt;=5600000,0,(Salary[[#This Row],[پایه حقوق]]-5600000)*0.1)</f>
        <v>109900</v>
      </c>
      <c r="K510" s="16">
        <f t="shared" ca="1" si="46"/>
        <v>6120170</v>
      </c>
    </row>
    <row r="511" spans="1:11">
      <c r="A511" s="1">
        <v>9989205</v>
      </c>
      <c r="B511" s="7">
        <f t="shared" ca="1" si="42"/>
        <v>47</v>
      </c>
      <c r="C511" s="7">
        <f>MATCH(Salary[[#This Row],[ماه]],Calc!$A$16:$A$27,0)</f>
        <v>9</v>
      </c>
      <c r="D511" s="8" t="s">
        <v>94</v>
      </c>
      <c r="E511" s="9">
        <f t="shared" ca="1" si="47"/>
        <v>6616000</v>
      </c>
      <c r="F511" s="9"/>
      <c r="G511" s="9">
        <f t="shared" ca="1" si="43"/>
        <v>6616000</v>
      </c>
      <c r="H511" s="9">
        <f t="shared" ca="1" si="44"/>
        <v>1521680</v>
      </c>
      <c r="I511" s="9">
        <f t="shared" ca="1" si="45"/>
        <v>463120.00000000006</v>
      </c>
      <c r="J511" s="22">
        <f ca="1">IF(Salary[[#This Row],[پایه حقوق]]&lt;=5600000,0,(Salary[[#This Row],[پایه حقوق]]-5600000)*0.1)</f>
        <v>101600</v>
      </c>
      <c r="K511" s="16">
        <f t="shared" ca="1" si="46"/>
        <v>6051280</v>
      </c>
    </row>
    <row r="512" spans="1:11">
      <c r="A512" s="1">
        <v>9989253</v>
      </c>
      <c r="B512" s="7">
        <f t="shared" ca="1" si="42"/>
        <v>39</v>
      </c>
      <c r="C512" s="7">
        <f>MATCH(Salary[[#This Row],[ماه]],Calc!$A$16:$A$27,0)</f>
        <v>9</v>
      </c>
      <c r="D512" s="8" t="s">
        <v>94</v>
      </c>
      <c r="E512" s="9">
        <f t="shared" ca="1" si="47"/>
        <v>3593000</v>
      </c>
      <c r="F512" s="9"/>
      <c r="G512" s="9">
        <f t="shared" ca="1" si="43"/>
        <v>3593000</v>
      </c>
      <c r="H512" s="9">
        <f t="shared" ca="1" si="44"/>
        <v>826390</v>
      </c>
      <c r="I512" s="9">
        <f t="shared" ca="1" si="45"/>
        <v>251510.00000000003</v>
      </c>
      <c r="J512" s="22">
        <f ca="1">IF(Salary[[#This Row],[پایه حقوق]]&lt;=5600000,0,(Salary[[#This Row],[پایه حقوق]]-5600000)*0.1)</f>
        <v>0</v>
      </c>
      <c r="K512" s="16">
        <f t="shared" ca="1" si="46"/>
        <v>3341490</v>
      </c>
    </row>
    <row r="513" spans="1:11">
      <c r="A513" s="1">
        <v>9989301</v>
      </c>
      <c r="B513" s="7">
        <f t="shared" ca="1" si="42"/>
        <v>38</v>
      </c>
      <c r="C513" s="7">
        <f>MATCH(Salary[[#This Row],[ماه]],Calc!$A$16:$A$27,0)</f>
        <v>9</v>
      </c>
      <c r="D513" s="8" t="s">
        <v>94</v>
      </c>
      <c r="E513" s="9">
        <f t="shared" ca="1" si="47"/>
        <v>8180000</v>
      </c>
      <c r="F513" s="9"/>
      <c r="G513" s="9">
        <f t="shared" ca="1" si="43"/>
        <v>8180000</v>
      </c>
      <c r="H513" s="9">
        <f t="shared" ca="1" si="44"/>
        <v>1881400</v>
      </c>
      <c r="I513" s="9">
        <f t="shared" ca="1" si="45"/>
        <v>572600</v>
      </c>
      <c r="J513" s="22">
        <f ca="1">IF(Salary[[#This Row],[پایه حقوق]]&lt;=5600000,0,(Salary[[#This Row],[پایه حقوق]]-5600000)*0.1)</f>
        <v>258000</v>
      </c>
      <c r="K513" s="16">
        <f t="shared" ca="1" si="46"/>
        <v>7349400</v>
      </c>
    </row>
    <row r="514" spans="1:11">
      <c r="A514" s="1">
        <v>9989349</v>
      </c>
      <c r="B514" s="7">
        <f t="shared" ref="B514:B577" ca="1" si="48">RANDBETWEEN(30,100)</f>
        <v>60</v>
      </c>
      <c r="C514" s="7">
        <f>MATCH(Salary[[#This Row],[ماه]],Calc!$A$16:$A$27,0)</f>
        <v>9</v>
      </c>
      <c r="D514" s="8" t="s">
        <v>94</v>
      </c>
      <c r="E514" s="9">
        <f t="shared" ca="1" si="47"/>
        <v>4518000</v>
      </c>
      <c r="F514" s="9"/>
      <c r="G514" s="9">
        <f t="shared" ref="G514:G577" ca="1" si="49">E514+F514</f>
        <v>4518000</v>
      </c>
      <c r="H514" s="9">
        <f t="shared" ref="H514:H577" ca="1" si="50">0.23*E514</f>
        <v>1039140</v>
      </c>
      <c r="I514" s="9">
        <f t="shared" ref="I514:I577" ca="1" si="51">0.07*E514</f>
        <v>316260.00000000006</v>
      </c>
      <c r="J514" s="22">
        <f ca="1">IF(Salary[[#This Row],[پایه حقوق]]&lt;=5600000,0,(Salary[[#This Row],[پایه حقوق]]-5600000)*0.1)</f>
        <v>0</v>
      </c>
      <c r="K514" s="16">
        <f t="shared" ref="K514:K577" ca="1" si="52">G514-I514-J514</f>
        <v>4201740</v>
      </c>
    </row>
    <row r="515" spans="1:11">
      <c r="A515" s="1">
        <v>9989397</v>
      </c>
      <c r="B515" s="7">
        <f t="shared" ca="1" si="48"/>
        <v>83</v>
      </c>
      <c r="C515" s="7">
        <f>MATCH(Salary[[#This Row],[ماه]],Calc!$A$16:$A$27,0)</f>
        <v>9</v>
      </c>
      <c r="D515" s="8" t="s">
        <v>94</v>
      </c>
      <c r="E515" s="9">
        <f t="shared" ref="E515:E578" ca="1" si="53">RANDBETWEEN(3000,15000)*1000</f>
        <v>3602000</v>
      </c>
      <c r="F515" s="9"/>
      <c r="G515" s="9">
        <f t="shared" ca="1" si="49"/>
        <v>3602000</v>
      </c>
      <c r="H515" s="9">
        <f t="shared" ca="1" si="50"/>
        <v>828460</v>
      </c>
      <c r="I515" s="9">
        <f t="shared" ca="1" si="51"/>
        <v>252140.00000000003</v>
      </c>
      <c r="J515" s="22">
        <f ca="1">IF(Salary[[#This Row],[پایه حقوق]]&lt;=5600000,0,(Salary[[#This Row],[پایه حقوق]]-5600000)*0.1)</f>
        <v>0</v>
      </c>
      <c r="K515" s="16">
        <f t="shared" ca="1" si="52"/>
        <v>3349860</v>
      </c>
    </row>
    <row r="516" spans="1:11">
      <c r="A516" s="1">
        <v>9989445</v>
      </c>
      <c r="B516" s="7">
        <f t="shared" ca="1" si="48"/>
        <v>32</v>
      </c>
      <c r="C516" s="7">
        <f>MATCH(Salary[[#This Row],[ماه]],Calc!$A$16:$A$27,0)</f>
        <v>9</v>
      </c>
      <c r="D516" s="8" t="s">
        <v>94</v>
      </c>
      <c r="E516" s="9">
        <f t="shared" ca="1" si="53"/>
        <v>9484000</v>
      </c>
      <c r="F516" s="9"/>
      <c r="G516" s="9">
        <f t="shared" ca="1" si="49"/>
        <v>9484000</v>
      </c>
      <c r="H516" s="9">
        <f t="shared" ca="1" si="50"/>
        <v>2181320</v>
      </c>
      <c r="I516" s="9">
        <f t="shared" ca="1" si="51"/>
        <v>663880.00000000012</v>
      </c>
      <c r="J516" s="22">
        <f ca="1">IF(Salary[[#This Row],[پایه حقوق]]&lt;=5600000,0,(Salary[[#This Row],[پایه حقوق]]-5600000)*0.1)</f>
        <v>388400</v>
      </c>
      <c r="K516" s="16">
        <f t="shared" ca="1" si="52"/>
        <v>8431720</v>
      </c>
    </row>
    <row r="517" spans="1:11">
      <c r="A517" s="1">
        <v>9989493</v>
      </c>
      <c r="B517" s="7">
        <f t="shared" ca="1" si="48"/>
        <v>52</v>
      </c>
      <c r="C517" s="7">
        <f>MATCH(Salary[[#This Row],[ماه]],Calc!$A$16:$A$27,0)</f>
        <v>9</v>
      </c>
      <c r="D517" s="8" t="s">
        <v>94</v>
      </c>
      <c r="E517" s="9">
        <f t="shared" ca="1" si="53"/>
        <v>7933000</v>
      </c>
      <c r="F517" s="9"/>
      <c r="G517" s="9">
        <f t="shared" ca="1" si="49"/>
        <v>7933000</v>
      </c>
      <c r="H517" s="9">
        <f t="shared" ca="1" si="50"/>
        <v>1824590</v>
      </c>
      <c r="I517" s="9">
        <f t="shared" ca="1" si="51"/>
        <v>555310</v>
      </c>
      <c r="J517" s="22">
        <f ca="1">IF(Salary[[#This Row],[پایه حقوق]]&lt;=5600000,0,(Salary[[#This Row],[پایه حقوق]]-5600000)*0.1)</f>
        <v>233300</v>
      </c>
      <c r="K517" s="16">
        <f t="shared" ca="1" si="52"/>
        <v>7144390</v>
      </c>
    </row>
    <row r="518" spans="1:11">
      <c r="A518" s="1">
        <v>9989541</v>
      </c>
      <c r="B518" s="7">
        <f t="shared" ca="1" si="48"/>
        <v>95</v>
      </c>
      <c r="C518" s="7">
        <f>MATCH(Salary[[#This Row],[ماه]],Calc!$A$16:$A$27,0)</f>
        <v>9</v>
      </c>
      <c r="D518" s="8" t="s">
        <v>94</v>
      </c>
      <c r="E518" s="9">
        <f t="shared" ca="1" si="53"/>
        <v>3510000</v>
      </c>
      <c r="F518" s="9"/>
      <c r="G518" s="9">
        <f t="shared" ca="1" si="49"/>
        <v>3510000</v>
      </c>
      <c r="H518" s="9">
        <f t="shared" ca="1" si="50"/>
        <v>807300</v>
      </c>
      <c r="I518" s="9">
        <f t="shared" ca="1" si="51"/>
        <v>245700.00000000003</v>
      </c>
      <c r="J518" s="22">
        <f ca="1">IF(Salary[[#This Row],[پایه حقوق]]&lt;=5600000,0,(Salary[[#This Row],[پایه حقوق]]-5600000)*0.1)</f>
        <v>0</v>
      </c>
      <c r="K518" s="16">
        <f t="shared" ca="1" si="52"/>
        <v>3264300</v>
      </c>
    </row>
    <row r="519" spans="1:11">
      <c r="A519" s="1">
        <v>9989589</v>
      </c>
      <c r="B519" s="7">
        <f t="shared" ca="1" si="48"/>
        <v>61</v>
      </c>
      <c r="C519" s="7">
        <f>MATCH(Salary[[#This Row],[ماه]],Calc!$A$16:$A$27,0)</f>
        <v>9</v>
      </c>
      <c r="D519" s="8" t="s">
        <v>94</v>
      </c>
      <c r="E519" s="9">
        <f t="shared" ca="1" si="53"/>
        <v>6691000</v>
      </c>
      <c r="F519" s="9"/>
      <c r="G519" s="9">
        <f t="shared" ca="1" si="49"/>
        <v>6691000</v>
      </c>
      <c r="H519" s="9">
        <f t="shared" ca="1" si="50"/>
        <v>1538930</v>
      </c>
      <c r="I519" s="9">
        <f t="shared" ca="1" si="51"/>
        <v>468370.00000000006</v>
      </c>
      <c r="J519" s="22">
        <f ca="1">IF(Salary[[#This Row],[پایه حقوق]]&lt;=5600000,0,(Salary[[#This Row],[پایه حقوق]]-5600000)*0.1)</f>
        <v>109100</v>
      </c>
      <c r="K519" s="16">
        <f t="shared" ca="1" si="52"/>
        <v>6113530</v>
      </c>
    </row>
    <row r="520" spans="1:11">
      <c r="A520" s="1">
        <v>9989637</v>
      </c>
      <c r="B520" s="7">
        <f t="shared" ca="1" si="48"/>
        <v>34</v>
      </c>
      <c r="C520" s="7">
        <f>MATCH(Salary[[#This Row],[ماه]],Calc!$A$16:$A$27,0)</f>
        <v>9</v>
      </c>
      <c r="D520" s="8" t="s">
        <v>94</v>
      </c>
      <c r="E520" s="9">
        <f t="shared" ca="1" si="53"/>
        <v>5722000</v>
      </c>
      <c r="F520" s="9"/>
      <c r="G520" s="9">
        <f t="shared" ca="1" si="49"/>
        <v>5722000</v>
      </c>
      <c r="H520" s="9">
        <f t="shared" ca="1" si="50"/>
        <v>1316060</v>
      </c>
      <c r="I520" s="9">
        <f t="shared" ca="1" si="51"/>
        <v>400540.00000000006</v>
      </c>
      <c r="J520" s="22">
        <f ca="1">IF(Salary[[#This Row],[پایه حقوق]]&lt;=5600000,0,(Salary[[#This Row],[پایه حقوق]]-5600000)*0.1)</f>
        <v>12200</v>
      </c>
      <c r="K520" s="16">
        <f t="shared" ca="1" si="52"/>
        <v>5309260</v>
      </c>
    </row>
    <row r="521" spans="1:11">
      <c r="A521" s="1">
        <v>9989685</v>
      </c>
      <c r="B521" s="7">
        <f t="shared" ca="1" si="48"/>
        <v>62</v>
      </c>
      <c r="C521" s="7">
        <f>MATCH(Salary[[#This Row],[ماه]],Calc!$A$16:$A$27,0)</f>
        <v>9</v>
      </c>
      <c r="D521" s="8" t="s">
        <v>94</v>
      </c>
      <c r="E521" s="9">
        <f t="shared" ca="1" si="53"/>
        <v>5347000</v>
      </c>
      <c r="F521" s="9"/>
      <c r="G521" s="9">
        <f t="shared" ca="1" si="49"/>
        <v>5347000</v>
      </c>
      <c r="H521" s="9">
        <f t="shared" ca="1" si="50"/>
        <v>1229810</v>
      </c>
      <c r="I521" s="9">
        <f t="shared" ca="1" si="51"/>
        <v>374290.00000000006</v>
      </c>
      <c r="J521" s="22">
        <f ca="1">IF(Salary[[#This Row],[پایه حقوق]]&lt;=5600000,0,(Salary[[#This Row],[پایه حقوق]]-5600000)*0.1)</f>
        <v>0</v>
      </c>
      <c r="K521" s="16">
        <f t="shared" ca="1" si="52"/>
        <v>4972710</v>
      </c>
    </row>
    <row r="522" spans="1:11">
      <c r="A522" s="1">
        <v>9989733</v>
      </c>
      <c r="B522" s="7">
        <f t="shared" ca="1" si="48"/>
        <v>61</v>
      </c>
      <c r="C522" s="7">
        <f>MATCH(Salary[[#This Row],[ماه]],Calc!$A$16:$A$27,0)</f>
        <v>9</v>
      </c>
      <c r="D522" s="8" t="s">
        <v>94</v>
      </c>
      <c r="E522" s="9">
        <f t="shared" ca="1" si="53"/>
        <v>8509000</v>
      </c>
      <c r="F522" s="9"/>
      <c r="G522" s="9">
        <f t="shared" ca="1" si="49"/>
        <v>8509000</v>
      </c>
      <c r="H522" s="9">
        <f t="shared" ca="1" si="50"/>
        <v>1957070</v>
      </c>
      <c r="I522" s="9">
        <f t="shared" ca="1" si="51"/>
        <v>595630</v>
      </c>
      <c r="J522" s="22">
        <f ca="1">IF(Salary[[#This Row],[پایه حقوق]]&lt;=5600000,0,(Salary[[#This Row],[پایه حقوق]]-5600000)*0.1)</f>
        <v>290900</v>
      </c>
      <c r="K522" s="16">
        <f t="shared" ca="1" si="52"/>
        <v>7622470</v>
      </c>
    </row>
    <row r="523" spans="1:11">
      <c r="A523" s="1">
        <v>9989781</v>
      </c>
      <c r="B523" s="7">
        <f t="shared" ca="1" si="48"/>
        <v>39</v>
      </c>
      <c r="C523" s="7">
        <f>MATCH(Salary[[#This Row],[ماه]],Calc!$A$16:$A$27,0)</f>
        <v>9</v>
      </c>
      <c r="D523" s="8" t="s">
        <v>94</v>
      </c>
      <c r="E523" s="9">
        <f t="shared" ca="1" si="53"/>
        <v>4871000</v>
      </c>
      <c r="F523" s="9"/>
      <c r="G523" s="9">
        <f t="shared" ca="1" si="49"/>
        <v>4871000</v>
      </c>
      <c r="H523" s="9">
        <f t="shared" ca="1" si="50"/>
        <v>1120330</v>
      </c>
      <c r="I523" s="9">
        <f t="shared" ca="1" si="51"/>
        <v>340970.00000000006</v>
      </c>
      <c r="J523" s="22">
        <f ca="1">IF(Salary[[#This Row],[پایه حقوق]]&lt;=5600000,0,(Salary[[#This Row],[پایه حقوق]]-5600000)*0.1)</f>
        <v>0</v>
      </c>
      <c r="K523" s="16">
        <f t="shared" ca="1" si="52"/>
        <v>4530030</v>
      </c>
    </row>
    <row r="524" spans="1:11">
      <c r="A524" s="1">
        <v>9989829</v>
      </c>
      <c r="B524" s="7">
        <f t="shared" ca="1" si="48"/>
        <v>67</v>
      </c>
      <c r="C524" s="7">
        <f>MATCH(Salary[[#This Row],[ماه]],Calc!$A$16:$A$27,0)</f>
        <v>9</v>
      </c>
      <c r="D524" s="8" t="s">
        <v>94</v>
      </c>
      <c r="E524" s="9">
        <f t="shared" ca="1" si="53"/>
        <v>7990000</v>
      </c>
      <c r="F524" s="9"/>
      <c r="G524" s="9">
        <f t="shared" ca="1" si="49"/>
        <v>7990000</v>
      </c>
      <c r="H524" s="9">
        <f t="shared" ca="1" si="50"/>
        <v>1837700</v>
      </c>
      <c r="I524" s="9">
        <f t="shared" ca="1" si="51"/>
        <v>559300</v>
      </c>
      <c r="J524" s="22">
        <f ca="1">IF(Salary[[#This Row],[پایه حقوق]]&lt;=5600000,0,(Salary[[#This Row],[پایه حقوق]]-5600000)*0.1)</f>
        <v>239000</v>
      </c>
      <c r="K524" s="16">
        <f t="shared" ca="1" si="52"/>
        <v>7191700</v>
      </c>
    </row>
    <row r="525" spans="1:11">
      <c r="A525" s="1">
        <v>9989877</v>
      </c>
      <c r="B525" s="7">
        <f t="shared" ca="1" si="48"/>
        <v>63</v>
      </c>
      <c r="C525" s="7">
        <f>MATCH(Salary[[#This Row],[ماه]],Calc!$A$16:$A$27,0)</f>
        <v>9</v>
      </c>
      <c r="D525" s="8" t="s">
        <v>94</v>
      </c>
      <c r="E525" s="9">
        <f t="shared" ca="1" si="53"/>
        <v>7377000</v>
      </c>
      <c r="F525" s="9"/>
      <c r="G525" s="9">
        <f t="shared" ca="1" si="49"/>
        <v>7377000</v>
      </c>
      <c r="H525" s="9">
        <f t="shared" ca="1" si="50"/>
        <v>1696710</v>
      </c>
      <c r="I525" s="9">
        <f t="shared" ca="1" si="51"/>
        <v>516390.00000000006</v>
      </c>
      <c r="J525" s="22">
        <f ca="1">IF(Salary[[#This Row],[پایه حقوق]]&lt;=5600000,0,(Salary[[#This Row],[پایه حقوق]]-5600000)*0.1)</f>
        <v>177700</v>
      </c>
      <c r="K525" s="16">
        <f t="shared" ca="1" si="52"/>
        <v>6682910</v>
      </c>
    </row>
    <row r="526" spans="1:11">
      <c r="A526" s="1">
        <v>9989925</v>
      </c>
      <c r="B526" s="7">
        <f t="shared" ca="1" si="48"/>
        <v>50</v>
      </c>
      <c r="C526" s="7">
        <f>MATCH(Salary[[#This Row],[ماه]],Calc!$A$16:$A$27,0)</f>
        <v>9</v>
      </c>
      <c r="D526" s="8" t="s">
        <v>94</v>
      </c>
      <c r="E526" s="9">
        <f t="shared" ca="1" si="53"/>
        <v>13025000</v>
      </c>
      <c r="F526" s="9"/>
      <c r="G526" s="9">
        <f t="shared" ca="1" si="49"/>
        <v>13025000</v>
      </c>
      <c r="H526" s="9">
        <f t="shared" ca="1" si="50"/>
        <v>2995750</v>
      </c>
      <c r="I526" s="9">
        <f t="shared" ca="1" si="51"/>
        <v>911750.00000000012</v>
      </c>
      <c r="J526" s="22">
        <f ca="1">IF(Salary[[#This Row],[پایه حقوق]]&lt;=5600000,0,(Salary[[#This Row],[پایه حقوق]]-5600000)*0.1)</f>
        <v>742500</v>
      </c>
      <c r="K526" s="16">
        <f t="shared" ca="1" si="52"/>
        <v>11370750</v>
      </c>
    </row>
    <row r="527" spans="1:11">
      <c r="A527" s="1">
        <v>9989973</v>
      </c>
      <c r="B527" s="7">
        <f t="shared" ca="1" si="48"/>
        <v>67</v>
      </c>
      <c r="C527" s="7">
        <f>MATCH(Salary[[#This Row],[ماه]],Calc!$A$16:$A$27,0)</f>
        <v>9</v>
      </c>
      <c r="D527" s="8" t="s">
        <v>94</v>
      </c>
      <c r="E527" s="9">
        <f t="shared" ca="1" si="53"/>
        <v>7338000</v>
      </c>
      <c r="F527" s="9"/>
      <c r="G527" s="9">
        <f t="shared" ca="1" si="49"/>
        <v>7338000</v>
      </c>
      <c r="H527" s="9">
        <f t="shared" ca="1" si="50"/>
        <v>1687740</v>
      </c>
      <c r="I527" s="9">
        <f t="shared" ca="1" si="51"/>
        <v>513660.00000000006</v>
      </c>
      <c r="J527" s="22">
        <f ca="1">IF(Salary[[#This Row],[پایه حقوق]]&lt;=5600000,0,(Salary[[#This Row],[پایه حقوق]]-5600000)*0.1)</f>
        <v>173800</v>
      </c>
      <c r="K527" s="16">
        <f t="shared" ca="1" si="52"/>
        <v>6650540</v>
      </c>
    </row>
    <row r="528" spans="1:11">
      <c r="A528" s="1">
        <v>9990021</v>
      </c>
      <c r="B528" s="7">
        <f t="shared" ca="1" si="48"/>
        <v>41</v>
      </c>
      <c r="C528" s="7">
        <f>MATCH(Salary[[#This Row],[ماه]],Calc!$A$16:$A$27,0)</f>
        <v>9</v>
      </c>
      <c r="D528" s="8" t="s">
        <v>94</v>
      </c>
      <c r="E528" s="9">
        <f t="shared" ca="1" si="53"/>
        <v>4189000</v>
      </c>
      <c r="F528" s="9"/>
      <c r="G528" s="9">
        <f t="shared" ca="1" si="49"/>
        <v>4189000</v>
      </c>
      <c r="H528" s="9">
        <f t="shared" ca="1" si="50"/>
        <v>963470</v>
      </c>
      <c r="I528" s="9">
        <f t="shared" ca="1" si="51"/>
        <v>293230</v>
      </c>
      <c r="J528" s="22">
        <f ca="1">IF(Salary[[#This Row],[پایه حقوق]]&lt;=5600000,0,(Salary[[#This Row],[پایه حقوق]]-5600000)*0.1)</f>
        <v>0</v>
      </c>
      <c r="K528" s="16">
        <f t="shared" ca="1" si="52"/>
        <v>3895770</v>
      </c>
    </row>
    <row r="529" spans="1:11">
      <c r="A529" s="1">
        <v>9990069</v>
      </c>
      <c r="B529" s="7">
        <f t="shared" ca="1" si="48"/>
        <v>90</v>
      </c>
      <c r="C529" s="7">
        <f>MATCH(Salary[[#This Row],[ماه]],Calc!$A$16:$A$27,0)</f>
        <v>9</v>
      </c>
      <c r="D529" s="8" t="s">
        <v>94</v>
      </c>
      <c r="E529" s="9">
        <f t="shared" ca="1" si="53"/>
        <v>4766000</v>
      </c>
      <c r="F529" s="9"/>
      <c r="G529" s="9">
        <f t="shared" ca="1" si="49"/>
        <v>4766000</v>
      </c>
      <c r="H529" s="9">
        <f t="shared" ca="1" si="50"/>
        <v>1096180</v>
      </c>
      <c r="I529" s="9">
        <f t="shared" ca="1" si="51"/>
        <v>333620.00000000006</v>
      </c>
      <c r="J529" s="22">
        <f ca="1">IF(Salary[[#This Row],[پایه حقوق]]&lt;=5600000,0,(Salary[[#This Row],[پایه حقوق]]-5600000)*0.1)</f>
        <v>0</v>
      </c>
      <c r="K529" s="16">
        <f t="shared" ca="1" si="52"/>
        <v>4432380</v>
      </c>
    </row>
    <row r="530" spans="1:11">
      <c r="A530" s="1">
        <v>9990117</v>
      </c>
      <c r="B530" s="7">
        <f t="shared" ca="1" si="48"/>
        <v>33</v>
      </c>
      <c r="C530" s="7">
        <f>MATCH(Salary[[#This Row],[ماه]],Calc!$A$16:$A$27,0)</f>
        <v>9</v>
      </c>
      <c r="D530" s="8" t="s">
        <v>94</v>
      </c>
      <c r="E530" s="9">
        <f t="shared" ca="1" si="53"/>
        <v>8502000</v>
      </c>
      <c r="F530" s="9"/>
      <c r="G530" s="9">
        <f t="shared" ca="1" si="49"/>
        <v>8502000</v>
      </c>
      <c r="H530" s="9">
        <f t="shared" ca="1" si="50"/>
        <v>1955460</v>
      </c>
      <c r="I530" s="9">
        <f t="shared" ca="1" si="51"/>
        <v>595140</v>
      </c>
      <c r="J530" s="22">
        <f ca="1">IF(Salary[[#This Row],[پایه حقوق]]&lt;=5600000,0,(Salary[[#This Row],[پایه حقوق]]-5600000)*0.1)</f>
        <v>290200</v>
      </c>
      <c r="K530" s="16">
        <f t="shared" ca="1" si="52"/>
        <v>7616660</v>
      </c>
    </row>
    <row r="531" spans="1:11">
      <c r="A531" s="1">
        <v>9990165</v>
      </c>
      <c r="B531" s="7">
        <f t="shared" ca="1" si="48"/>
        <v>66</v>
      </c>
      <c r="C531" s="7">
        <f>MATCH(Salary[[#This Row],[ماه]],Calc!$A$16:$A$27,0)</f>
        <v>9</v>
      </c>
      <c r="D531" s="8" t="s">
        <v>94</v>
      </c>
      <c r="E531" s="9">
        <f t="shared" ca="1" si="53"/>
        <v>11792000</v>
      </c>
      <c r="F531" s="9"/>
      <c r="G531" s="9">
        <f t="shared" ca="1" si="49"/>
        <v>11792000</v>
      </c>
      <c r="H531" s="9">
        <f t="shared" ca="1" si="50"/>
        <v>2712160</v>
      </c>
      <c r="I531" s="9">
        <f t="shared" ca="1" si="51"/>
        <v>825440.00000000012</v>
      </c>
      <c r="J531" s="22">
        <f ca="1">IF(Salary[[#This Row],[پایه حقوق]]&lt;=5600000,0,(Salary[[#This Row],[پایه حقوق]]-5600000)*0.1)</f>
        <v>619200</v>
      </c>
      <c r="K531" s="16">
        <f t="shared" ca="1" si="52"/>
        <v>10347360</v>
      </c>
    </row>
    <row r="532" spans="1:11">
      <c r="A532" s="1">
        <v>9990213</v>
      </c>
      <c r="B532" s="7">
        <f t="shared" ca="1" si="48"/>
        <v>53</v>
      </c>
      <c r="C532" s="7">
        <f>MATCH(Salary[[#This Row],[ماه]],Calc!$A$16:$A$27,0)</f>
        <v>9</v>
      </c>
      <c r="D532" s="8" t="s">
        <v>94</v>
      </c>
      <c r="E532" s="9">
        <f t="shared" ca="1" si="53"/>
        <v>8501000</v>
      </c>
      <c r="F532" s="9"/>
      <c r="G532" s="9">
        <f t="shared" ca="1" si="49"/>
        <v>8501000</v>
      </c>
      <c r="H532" s="9">
        <f t="shared" ca="1" si="50"/>
        <v>1955230</v>
      </c>
      <c r="I532" s="9">
        <f t="shared" ca="1" si="51"/>
        <v>595070</v>
      </c>
      <c r="J532" s="22">
        <f ca="1">IF(Salary[[#This Row],[پایه حقوق]]&lt;=5600000,0,(Salary[[#This Row],[پایه حقوق]]-5600000)*0.1)</f>
        <v>290100</v>
      </c>
      <c r="K532" s="16">
        <f t="shared" ca="1" si="52"/>
        <v>7615830</v>
      </c>
    </row>
    <row r="533" spans="1:11">
      <c r="A533" s="1">
        <v>9990261</v>
      </c>
      <c r="B533" s="7">
        <f t="shared" ca="1" si="48"/>
        <v>36</v>
      </c>
      <c r="C533" s="7">
        <f>MATCH(Salary[[#This Row],[ماه]],Calc!$A$16:$A$27,0)</f>
        <v>9</v>
      </c>
      <c r="D533" s="8" t="s">
        <v>94</v>
      </c>
      <c r="E533" s="9">
        <f t="shared" ca="1" si="53"/>
        <v>11395000</v>
      </c>
      <c r="F533" s="9"/>
      <c r="G533" s="9">
        <f t="shared" ca="1" si="49"/>
        <v>11395000</v>
      </c>
      <c r="H533" s="9">
        <f t="shared" ca="1" si="50"/>
        <v>2620850</v>
      </c>
      <c r="I533" s="9">
        <f t="shared" ca="1" si="51"/>
        <v>797650.00000000012</v>
      </c>
      <c r="J533" s="22">
        <f ca="1">IF(Salary[[#This Row],[پایه حقوق]]&lt;=5600000,0,(Salary[[#This Row],[پایه حقوق]]-5600000)*0.1)</f>
        <v>579500</v>
      </c>
      <c r="K533" s="16">
        <f t="shared" ca="1" si="52"/>
        <v>10017850</v>
      </c>
    </row>
    <row r="534" spans="1:11">
      <c r="A534" s="1">
        <v>9990309</v>
      </c>
      <c r="B534" s="7">
        <f t="shared" ca="1" si="48"/>
        <v>61</v>
      </c>
      <c r="C534" s="7">
        <f>MATCH(Salary[[#This Row],[ماه]],Calc!$A$16:$A$27,0)</f>
        <v>9</v>
      </c>
      <c r="D534" s="8" t="s">
        <v>94</v>
      </c>
      <c r="E534" s="9">
        <f t="shared" ca="1" si="53"/>
        <v>12964000</v>
      </c>
      <c r="F534" s="9"/>
      <c r="G534" s="9">
        <f t="shared" ca="1" si="49"/>
        <v>12964000</v>
      </c>
      <c r="H534" s="9">
        <f t="shared" ca="1" si="50"/>
        <v>2981720</v>
      </c>
      <c r="I534" s="9">
        <f t="shared" ca="1" si="51"/>
        <v>907480.00000000012</v>
      </c>
      <c r="J534" s="22">
        <f ca="1">IF(Salary[[#This Row],[پایه حقوق]]&lt;=5600000,0,(Salary[[#This Row],[پایه حقوق]]-5600000)*0.1)</f>
        <v>736400</v>
      </c>
      <c r="K534" s="16">
        <f t="shared" ca="1" si="52"/>
        <v>11320120</v>
      </c>
    </row>
    <row r="535" spans="1:11">
      <c r="A535" s="1">
        <v>9990357</v>
      </c>
      <c r="B535" s="7">
        <f t="shared" ca="1" si="48"/>
        <v>41</v>
      </c>
      <c r="C535" s="7">
        <f>MATCH(Salary[[#This Row],[ماه]],Calc!$A$16:$A$27,0)</f>
        <v>9</v>
      </c>
      <c r="D535" s="8" t="s">
        <v>94</v>
      </c>
      <c r="E535" s="9">
        <f t="shared" ca="1" si="53"/>
        <v>9348000</v>
      </c>
      <c r="F535" s="9"/>
      <c r="G535" s="9">
        <f t="shared" ca="1" si="49"/>
        <v>9348000</v>
      </c>
      <c r="H535" s="9">
        <f t="shared" ca="1" si="50"/>
        <v>2150040</v>
      </c>
      <c r="I535" s="9">
        <f t="shared" ca="1" si="51"/>
        <v>654360.00000000012</v>
      </c>
      <c r="J535" s="22">
        <f ca="1">IF(Salary[[#This Row],[پایه حقوق]]&lt;=5600000,0,(Salary[[#This Row],[پایه حقوق]]-5600000)*0.1)</f>
        <v>374800</v>
      </c>
      <c r="K535" s="16">
        <f t="shared" ca="1" si="52"/>
        <v>8318840</v>
      </c>
    </row>
    <row r="536" spans="1:11">
      <c r="A536" s="1">
        <v>9990405</v>
      </c>
      <c r="B536" s="7">
        <f t="shared" ca="1" si="48"/>
        <v>48</v>
      </c>
      <c r="C536" s="7">
        <f>MATCH(Salary[[#This Row],[ماه]],Calc!$A$16:$A$27,0)</f>
        <v>9</v>
      </c>
      <c r="D536" s="8" t="s">
        <v>94</v>
      </c>
      <c r="E536" s="9">
        <f t="shared" ca="1" si="53"/>
        <v>9478000</v>
      </c>
      <c r="F536" s="9"/>
      <c r="G536" s="9">
        <f t="shared" ca="1" si="49"/>
        <v>9478000</v>
      </c>
      <c r="H536" s="9">
        <f t="shared" ca="1" si="50"/>
        <v>2179940</v>
      </c>
      <c r="I536" s="9">
        <f t="shared" ca="1" si="51"/>
        <v>663460.00000000012</v>
      </c>
      <c r="J536" s="22">
        <f ca="1">IF(Salary[[#This Row],[پایه حقوق]]&lt;=5600000,0,(Salary[[#This Row],[پایه حقوق]]-5600000)*0.1)</f>
        <v>387800</v>
      </c>
      <c r="K536" s="16">
        <f t="shared" ca="1" si="52"/>
        <v>8426740</v>
      </c>
    </row>
    <row r="537" spans="1:11">
      <c r="A537" s="1">
        <v>9990453</v>
      </c>
      <c r="B537" s="7">
        <f t="shared" ca="1" si="48"/>
        <v>71</v>
      </c>
      <c r="C537" s="7">
        <f>MATCH(Salary[[#This Row],[ماه]],Calc!$A$16:$A$27,0)</f>
        <v>9</v>
      </c>
      <c r="D537" s="8" t="s">
        <v>94</v>
      </c>
      <c r="E537" s="9">
        <f t="shared" ca="1" si="53"/>
        <v>7267000</v>
      </c>
      <c r="F537" s="9"/>
      <c r="G537" s="9">
        <f t="shared" ca="1" si="49"/>
        <v>7267000</v>
      </c>
      <c r="H537" s="9">
        <f t="shared" ca="1" si="50"/>
        <v>1671410</v>
      </c>
      <c r="I537" s="9">
        <f t="shared" ca="1" si="51"/>
        <v>508690.00000000006</v>
      </c>
      <c r="J537" s="22">
        <f ca="1">IF(Salary[[#This Row],[پایه حقوق]]&lt;=5600000,0,(Salary[[#This Row],[پایه حقوق]]-5600000)*0.1)</f>
        <v>166700</v>
      </c>
      <c r="K537" s="16">
        <f t="shared" ca="1" si="52"/>
        <v>6591610</v>
      </c>
    </row>
    <row r="538" spans="1:11">
      <c r="A538" s="1">
        <v>9990501</v>
      </c>
      <c r="B538" s="7">
        <f t="shared" ca="1" si="48"/>
        <v>68</v>
      </c>
      <c r="C538" s="7">
        <f>MATCH(Salary[[#This Row],[ماه]],Calc!$A$16:$A$27,0)</f>
        <v>9</v>
      </c>
      <c r="D538" s="8" t="s">
        <v>94</v>
      </c>
      <c r="E538" s="9">
        <f t="shared" ca="1" si="53"/>
        <v>6048000</v>
      </c>
      <c r="F538" s="9"/>
      <c r="G538" s="9">
        <f t="shared" ca="1" si="49"/>
        <v>6048000</v>
      </c>
      <c r="H538" s="9">
        <f t="shared" ca="1" si="50"/>
        <v>1391040</v>
      </c>
      <c r="I538" s="9">
        <f t="shared" ca="1" si="51"/>
        <v>423360.00000000006</v>
      </c>
      <c r="J538" s="22">
        <f ca="1">IF(Salary[[#This Row],[پایه حقوق]]&lt;=5600000,0,(Salary[[#This Row],[پایه حقوق]]-5600000)*0.1)</f>
        <v>44800</v>
      </c>
      <c r="K538" s="16">
        <f t="shared" ca="1" si="52"/>
        <v>5579840</v>
      </c>
    </row>
    <row r="539" spans="1:11">
      <c r="A539" s="1">
        <v>9990549</v>
      </c>
      <c r="B539" s="7">
        <f t="shared" ca="1" si="48"/>
        <v>92</v>
      </c>
      <c r="C539" s="7">
        <f>MATCH(Salary[[#This Row],[ماه]],Calc!$A$16:$A$27,0)</f>
        <v>9</v>
      </c>
      <c r="D539" s="8" t="s">
        <v>94</v>
      </c>
      <c r="E539" s="9">
        <f t="shared" ca="1" si="53"/>
        <v>14845000</v>
      </c>
      <c r="F539" s="9"/>
      <c r="G539" s="9">
        <f t="shared" ca="1" si="49"/>
        <v>14845000</v>
      </c>
      <c r="H539" s="9">
        <f t="shared" ca="1" si="50"/>
        <v>3414350</v>
      </c>
      <c r="I539" s="9">
        <f t="shared" ca="1" si="51"/>
        <v>1039150.0000000001</v>
      </c>
      <c r="J539" s="22">
        <f ca="1">IF(Salary[[#This Row],[پایه حقوق]]&lt;=5600000,0,(Salary[[#This Row],[پایه حقوق]]-5600000)*0.1)</f>
        <v>924500</v>
      </c>
      <c r="K539" s="16">
        <f t="shared" ca="1" si="52"/>
        <v>12881350</v>
      </c>
    </row>
    <row r="540" spans="1:11">
      <c r="A540" s="1">
        <v>9990597</v>
      </c>
      <c r="B540" s="7">
        <f t="shared" ca="1" si="48"/>
        <v>36</v>
      </c>
      <c r="C540" s="7">
        <f>MATCH(Salary[[#This Row],[ماه]],Calc!$A$16:$A$27,0)</f>
        <v>9</v>
      </c>
      <c r="D540" s="8" t="s">
        <v>94</v>
      </c>
      <c r="E540" s="9">
        <f t="shared" ca="1" si="53"/>
        <v>3239000</v>
      </c>
      <c r="F540" s="9"/>
      <c r="G540" s="9">
        <f t="shared" ca="1" si="49"/>
        <v>3239000</v>
      </c>
      <c r="H540" s="9">
        <f t="shared" ca="1" si="50"/>
        <v>744970</v>
      </c>
      <c r="I540" s="9">
        <f t="shared" ca="1" si="51"/>
        <v>226730.00000000003</v>
      </c>
      <c r="J540" s="22">
        <f ca="1">IF(Salary[[#This Row],[پایه حقوق]]&lt;=5600000,0,(Salary[[#This Row],[پایه حقوق]]-5600000)*0.1)</f>
        <v>0</v>
      </c>
      <c r="K540" s="16">
        <f t="shared" ca="1" si="52"/>
        <v>3012270</v>
      </c>
    </row>
    <row r="541" spans="1:11">
      <c r="A541" s="1">
        <v>9990645</v>
      </c>
      <c r="B541" s="7">
        <f t="shared" ca="1" si="48"/>
        <v>58</v>
      </c>
      <c r="C541" s="7">
        <f>MATCH(Salary[[#This Row],[ماه]],Calc!$A$16:$A$27,0)</f>
        <v>9</v>
      </c>
      <c r="D541" s="8" t="s">
        <v>94</v>
      </c>
      <c r="E541" s="9">
        <f t="shared" ca="1" si="53"/>
        <v>14538000</v>
      </c>
      <c r="F541" s="9"/>
      <c r="G541" s="9">
        <f t="shared" ca="1" si="49"/>
        <v>14538000</v>
      </c>
      <c r="H541" s="9">
        <f t="shared" ca="1" si="50"/>
        <v>3343740</v>
      </c>
      <c r="I541" s="9">
        <f t="shared" ca="1" si="51"/>
        <v>1017660.0000000001</v>
      </c>
      <c r="J541" s="22">
        <f ca="1">IF(Salary[[#This Row],[پایه حقوق]]&lt;=5600000,0,(Salary[[#This Row],[پایه حقوق]]-5600000)*0.1)</f>
        <v>893800</v>
      </c>
      <c r="K541" s="16">
        <f t="shared" ca="1" si="52"/>
        <v>12626540</v>
      </c>
    </row>
    <row r="542" spans="1:11">
      <c r="A542" s="1">
        <v>9987656</v>
      </c>
      <c r="B542" s="7">
        <f t="shared" ca="1" si="48"/>
        <v>63</v>
      </c>
      <c r="C542" s="7">
        <f>MATCH(Salary[[#This Row],[ماه]],Calc!$A$16:$A$27,0)</f>
        <v>10</v>
      </c>
      <c r="D542" s="8" t="s">
        <v>95</v>
      </c>
      <c r="E542" s="9">
        <f t="shared" ca="1" si="53"/>
        <v>8395000</v>
      </c>
      <c r="F542" s="9">
        <f ca="1">0.7*E542</f>
        <v>5876500</v>
      </c>
      <c r="G542" s="9">
        <f t="shared" ca="1" si="49"/>
        <v>14271500</v>
      </c>
      <c r="H542" s="9">
        <f t="shared" ca="1" si="50"/>
        <v>1930850</v>
      </c>
      <c r="I542" s="9">
        <f t="shared" ca="1" si="51"/>
        <v>587650</v>
      </c>
      <c r="J542" s="22">
        <f ca="1">IF(Salary[[#This Row],[پایه حقوق]]&lt;=5600000,0,(Salary[[#This Row],[پایه حقوق]]-5600000)*0.1)</f>
        <v>279500</v>
      </c>
      <c r="K542" s="16">
        <f t="shared" ca="1" si="52"/>
        <v>13404350</v>
      </c>
    </row>
    <row r="543" spans="1:11">
      <c r="A543" s="1">
        <v>9987728</v>
      </c>
      <c r="B543" s="7">
        <f t="shared" ca="1" si="48"/>
        <v>87</v>
      </c>
      <c r="C543" s="7">
        <f>MATCH(Salary[[#This Row],[ماه]],Calc!$A$16:$A$27,0)</f>
        <v>10</v>
      </c>
      <c r="D543" s="8" t="s">
        <v>95</v>
      </c>
      <c r="E543" s="9">
        <f t="shared" ca="1" si="53"/>
        <v>8464000</v>
      </c>
      <c r="F543" s="9"/>
      <c r="G543" s="9">
        <f t="shared" ca="1" si="49"/>
        <v>8464000</v>
      </c>
      <c r="H543" s="9">
        <f t="shared" ca="1" si="50"/>
        <v>1946720</v>
      </c>
      <c r="I543" s="9">
        <f t="shared" ca="1" si="51"/>
        <v>592480</v>
      </c>
      <c r="J543" s="22">
        <f ca="1">IF(Salary[[#This Row],[پایه حقوق]]&lt;=5600000,0,(Salary[[#This Row],[پایه حقوق]]-5600000)*0.1)</f>
        <v>286400</v>
      </c>
      <c r="K543" s="16">
        <f t="shared" ca="1" si="52"/>
        <v>7585120</v>
      </c>
    </row>
    <row r="544" spans="1:11">
      <c r="A544" s="1">
        <v>9987826</v>
      </c>
      <c r="B544" s="7">
        <f t="shared" ca="1" si="48"/>
        <v>76</v>
      </c>
      <c r="C544" s="7">
        <f>MATCH(Salary[[#This Row],[ماه]],Calc!$A$16:$A$27,0)</f>
        <v>10</v>
      </c>
      <c r="D544" s="8" t="s">
        <v>95</v>
      </c>
      <c r="E544" s="9">
        <f t="shared" ca="1" si="53"/>
        <v>13207000</v>
      </c>
      <c r="F544" s="9">
        <f ca="1">0.7*E544</f>
        <v>9244900</v>
      </c>
      <c r="G544" s="9">
        <f t="shared" ca="1" si="49"/>
        <v>22451900</v>
      </c>
      <c r="H544" s="9">
        <f t="shared" ca="1" si="50"/>
        <v>3037610</v>
      </c>
      <c r="I544" s="9">
        <f t="shared" ca="1" si="51"/>
        <v>924490.00000000012</v>
      </c>
      <c r="J544" s="22">
        <f ca="1">IF(Salary[[#This Row],[پایه حقوق]]&lt;=5600000,0,(Salary[[#This Row],[پایه حقوق]]-5600000)*0.1)</f>
        <v>760700</v>
      </c>
      <c r="K544" s="16">
        <f t="shared" ca="1" si="52"/>
        <v>20766710</v>
      </c>
    </row>
    <row r="545" spans="1:11">
      <c r="A545" s="1">
        <v>9987915</v>
      </c>
      <c r="B545" s="7">
        <f t="shared" ca="1" si="48"/>
        <v>46</v>
      </c>
      <c r="C545" s="7">
        <f>MATCH(Salary[[#This Row],[ماه]],Calc!$A$16:$A$27,0)</f>
        <v>10</v>
      </c>
      <c r="D545" s="8" t="s">
        <v>95</v>
      </c>
      <c r="E545" s="9">
        <f t="shared" ca="1" si="53"/>
        <v>4276000</v>
      </c>
      <c r="F545" s="9">
        <f ca="1">0.7*E545</f>
        <v>2993200</v>
      </c>
      <c r="G545" s="9">
        <f t="shared" ca="1" si="49"/>
        <v>7269200</v>
      </c>
      <c r="H545" s="9">
        <f t="shared" ca="1" si="50"/>
        <v>983480</v>
      </c>
      <c r="I545" s="9">
        <f t="shared" ca="1" si="51"/>
        <v>299320</v>
      </c>
      <c r="J545" s="22">
        <f ca="1">IF(Salary[[#This Row],[پایه حقوق]]&lt;=5600000,0,(Salary[[#This Row],[پایه حقوق]]-5600000)*0.1)</f>
        <v>0</v>
      </c>
      <c r="K545" s="16">
        <f t="shared" ca="1" si="52"/>
        <v>6969880</v>
      </c>
    </row>
    <row r="546" spans="1:11">
      <c r="A546" s="1">
        <v>9987938</v>
      </c>
      <c r="B546" s="7">
        <f t="shared" ca="1" si="48"/>
        <v>73</v>
      </c>
      <c r="C546" s="7">
        <f>MATCH(Salary[[#This Row],[ماه]],Calc!$A$16:$A$27,0)</f>
        <v>10</v>
      </c>
      <c r="D546" s="8" t="s">
        <v>95</v>
      </c>
      <c r="E546" s="9">
        <f t="shared" ca="1" si="53"/>
        <v>6637000</v>
      </c>
      <c r="F546" s="9"/>
      <c r="G546" s="9">
        <f t="shared" ca="1" si="49"/>
        <v>6637000</v>
      </c>
      <c r="H546" s="9">
        <f t="shared" ca="1" si="50"/>
        <v>1526510</v>
      </c>
      <c r="I546" s="9">
        <f t="shared" ca="1" si="51"/>
        <v>464590.00000000006</v>
      </c>
      <c r="J546" s="22">
        <f ca="1">IF(Salary[[#This Row],[پایه حقوق]]&lt;=5600000,0,(Salary[[#This Row],[پایه حقوق]]-5600000)*0.1)</f>
        <v>103700</v>
      </c>
      <c r="K546" s="16">
        <f t="shared" ca="1" si="52"/>
        <v>6068710</v>
      </c>
    </row>
    <row r="547" spans="1:11">
      <c r="A547" s="1">
        <v>9988023</v>
      </c>
      <c r="B547" s="7">
        <f t="shared" ca="1" si="48"/>
        <v>94</v>
      </c>
      <c r="C547" s="7">
        <f>MATCH(Salary[[#This Row],[ماه]],Calc!$A$16:$A$27,0)</f>
        <v>10</v>
      </c>
      <c r="D547" s="8" t="s">
        <v>95</v>
      </c>
      <c r="E547" s="9">
        <f t="shared" ca="1" si="53"/>
        <v>10219000</v>
      </c>
      <c r="F547" s="9"/>
      <c r="G547" s="9">
        <f t="shared" ca="1" si="49"/>
        <v>10219000</v>
      </c>
      <c r="H547" s="9">
        <f t="shared" ca="1" si="50"/>
        <v>2350370</v>
      </c>
      <c r="I547" s="9">
        <f t="shared" ca="1" si="51"/>
        <v>715330.00000000012</v>
      </c>
      <c r="J547" s="22">
        <f ca="1">IF(Salary[[#This Row],[پایه حقوق]]&lt;=5600000,0,(Salary[[#This Row],[پایه حقوق]]-5600000)*0.1)</f>
        <v>461900</v>
      </c>
      <c r="K547" s="16">
        <f t="shared" ca="1" si="52"/>
        <v>9041770</v>
      </c>
    </row>
    <row r="548" spans="1:11">
      <c r="A548" s="1">
        <v>9988106</v>
      </c>
      <c r="B548" s="7">
        <f t="shared" ca="1" si="48"/>
        <v>69</v>
      </c>
      <c r="C548" s="7">
        <f>MATCH(Salary[[#This Row],[ماه]],Calc!$A$16:$A$27,0)</f>
        <v>10</v>
      </c>
      <c r="D548" s="8" t="s">
        <v>95</v>
      </c>
      <c r="E548" s="9">
        <f t="shared" ca="1" si="53"/>
        <v>11443000</v>
      </c>
      <c r="F548" s="9"/>
      <c r="G548" s="9">
        <f t="shared" ca="1" si="49"/>
        <v>11443000</v>
      </c>
      <c r="H548" s="9">
        <f t="shared" ca="1" si="50"/>
        <v>2631890</v>
      </c>
      <c r="I548" s="9">
        <f t="shared" ca="1" si="51"/>
        <v>801010.00000000012</v>
      </c>
      <c r="J548" s="22">
        <f ca="1">IF(Salary[[#This Row],[پایه حقوق]]&lt;=5600000,0,(Salary[[#This Row],[پایه حقوق]]-5600000)*0.1)</f>
        <v>584300</v>
      </c>
      <c r="K548" s="16">
        <f t="shared" ca="1" si="52"/>
        <v>10057690</v>
      </c>
    </row>
    <row r="549" spans="1:11">
      <c r="A549" s="1">
        <v>9988137</v>
      </c>
      <c r="B549" s="7">
        <f t="shared" ca="1" si="48"/>
        <v>65</v>
      </c>
      <c r="C549" s="7">
        <f>MATCH(Salary[[#This Row],[ماه]],Calc!$A$16:$A$27,0)</f>
        <v>10</v>
      </c>
      <c r="D549" s="8" t="s">
        <v>95</v>
      </c>
      <c r="E549" s="9">
        <f t="shared" ca="1" si="53"/>
        <v>9455000</v>
      </c>
      <c r="F549" s="9"/>
      <c r="G549" s="9">
        <f t="shared" ca="1" si="49"/>
        <v>9455000</v>
      </c>
      <c r="H549" s="9">
        <f t="shared" ca="1" si="50"/>
        <v>2174650</v>
      </c>
      <c r="I549" s="9">
        <f t="shared" ca="1" si="51"/>
        <v>661850.00000000012</v>
      </c>
      <c r="J549" s="22">
        <f ca="1">IF(Salary[[#This Row],[پایه حقوق]]&lt;=5600000,0,(Salary[[#This Row],[پایه حقوق]]-5600000)*0.1)</f>
        <v>385500</v>
      </c>
      <c r="K549" s="16">
        <f t="shared" ca="1" si="52"/>
        <v>8407650</v>
      </c>
    </row>
    <row r="550" spans="1:11">
      <c r="A550" s="1">
        <v>9988165</v>
      </c>
      <c r="B550" s="7">
        <f t="shared" ca="1" si="48"/>
        <v>100</v>
      </c>
      <c r="C550" s="7">
        <f>MATCH(Salary[[#This Row],[ماه]],Calc!$A$16:$A$27,0)</f>
        <v>10</v>
      </c>
      <c r="D550" s="8" t="s">
        <v>95</v>
      </c>
      <c r="E550" s="9">
        <f t="shared" ca="1" si="53"/>
        <v>11055000</v>
      </c>
      <c r="F550" s="9"/>
      <c r="G550" s="9">
        <f t="shared" ca="1" si="49"/>
        <v>11055000</v>
      </c>
      <c r="H550" s="9">
        <f t="shared" ca="1" si="50"/>
        <v>2542650</v>
      </c>
      <c r="I550" s="9">
        <f t="shared" ca="1" si="51"/>
        <v>773850.00000000012</v>
      </c>
      <c r="J550" s="22">
        <f ca="1">IF(Salary[[#This Row],[پایه حقوق]]&lt;=5600000,0,(Salary[[#This Row],[پایه حقوق]]-5600000)*0.1)</f>
        <v>545500</v>
      </c>
      <c r="K550" s="16">
        <f t="shared" ca="1" si="52"/>
        <v>9735650</v>
      </c>
    </row>
    <row r="551" spans="1:11">
      <c r="A551" s="1">
        <v>9988236</v>
      </c>
      <c r="B551" s="7">
        <f t="shared" ca="1" si="48"/>
        <v>67</v>
      </c>
      <c r="C551" s="7">
        <f>MATCH(Salary[[#This Row],[ماه]],Calc!$A$16:$A$27,0)</f>
        <v>10</v>
      </c>
      <c r="D551" s="8" t="s">
        <v>95</v>
      </c>
      <c r="E551" s="9">
        <f t="shared" ca="1" si="53"/>
        <v>4160000</v>
      </c>
      <c r="F551" s="9"/>
      <c r="G551" s="9">
        <f t="shared" ca="1" si="49"/>
        <v>4160000</v>
      </c>
      <c r="H551" s="9">
        <f t="shared" ca="1" si="50"/>
        <v>956800</v>
      </c>
      <c r="I551" s="9">
        <f t="shared" ca="1" si="51"/>
        <v>291200</v>
      </c>
      <c r="J551" s="22">
        <f ca="1">IF(Salary[[#This Row],[پایه حقوق]]&lt;=5600000,0,(Salary[[#This Row],[پایه حقوق]]-5600000)*0.1)</f>
        <v>0</v>
      </c>
      <c r="K551" s="16">
        <f t="shared" ca="1" si="52"/>
        <v>3868800</v>
      </c>
    </row>
    <row r="552" spans="1:11">
      <c r="A552" s="1">
        <v>9988277</v>
      </c>
      <c r="B552" s="7">
        <f t="shared" ca="1" si="48"/>
        <v>84</v>
      </c>
      <c r="C552" s="7">
        <f>MATCH(Salary[[#This Row],[ماه]],Calc!$A$16:$A$27,0)</f>
        <v>10</v>
      </c>
      <c r="D552" s="8" t="s">
        <v>95</v>
      </c>
      <c r="E552" s="9">
        <f t="shared" ca="1" si="53"/>
        <v>4830000</v>
      </c>
      <c r="F552" s="9"/>
      <c r="G552" s="9">
        <f t="shared" ca="1" si="49"/>
        <v>4830000</v>
      </c>
      <c r="H552" s="9">
        <f t="shared" ca="1" si="50"/>
        <v>1110900</v>
      </c>
      <c r="I552" s="9">
        <f t="shared" ca="1" si="51"/>
        <v>338100.00000000006</v>
      </c>
      <c r="J552" s="22">
        <f ca="1">IF(Salary[[#This Row],[پایه حقوق]]&lt;=5600000,0,(Salary[[#This Row],[پایه حقوق]]-5600000)*0.1)</f>
        <v>0</v>
      </c>
      <c r="K552" s="16">
        <f t="shared" ca="1" si="52"/>
        <v>4491900</v>
      </c>
    </row>
    <row r="553" spans="1:11">
      <c r="A553" s="1">
        <v>9988371</v>
      </c>
      <c r="B553" s="7">
        <f t="shared" ca="1" si="48"/>
        <v>99</v>
      </c>
      <c r="C553" s="7">
        <f>MATCH(Salary[[#This Row],[ماه]],Calc!$A$16:$A$27,0)</f>
        <v>10</v>
      </c>
      <c r="D553" s="8" t="s">
        <v>95</v>
      </c>
      <c r="E553" s="9">
        <f t="shared" ca="1" si="53"/>
        <v>8590000</v>
      </c>
      <c r="F553" s="9"/>
      <c r="G553" s="9">
        <f t="shared" ca="1" si="49"/>
        <v>8590000</v>
      </c>
      <c r="H553" s="9">
        <f t="shared" ca="1" si="50"/>
        <v>1975700</v>
      </c>
      <c r="I553" s="9">
        <f t="shared" ca="1" si="51"/>
        <v>601300</v>
      </c>
      <c r="J553" s="22">
        <f ca="1">IF(Salary[[#This Row],[پایه حقوق]]&lt;=5600000,0,(Salary[[#This Row],[پایه حقوق]]-5600000)*0.1)</f>
        <v>299000</v>
      </c>
      <c r="K553" s="16">
        <f t="shared" ca="1" si="52"/>
        <v>7689700</v>
      </c>
    </row>
    <row r="554" spans="1:11">
      <c r="A554" s="1">
        <v>9988393</v>
      </c>
      <c r="B554" s="7">
        <f t="shared" ca="1" si="48"/>
        <v>60</v>
      </c>
      <c r="C554" s="7">
        <f>MATCH(Salary[[#This Row],[ماه]],Calc!$A$16:$A$27,0)</f>
        <v>10</v>
      </c>
      <c r="D554" s="8" t="s">
        <v>95</v>
      </c>
      <c r="E554" s="9">
        <f t="shared" ca="1" si="53"/>
        <v>3218000</v>
      </c>
      <c r="F554" s="9"/>
      <c r="G554" s="9">
        <f t="shared" ca="1" si="49"/>
        <v>3218000</v>
      </c>
      <c r="H554" s="9">
        <f t="shared" ca="1" si="50"/>
        <v>740140</v>
      </c>
      <c r="I554" s="9">
        <f t="shared" ca="1" si="51"/>
        <v>225260.00000000003</v>
      </c>
      <c r="J554" s="22">
        <f ca="1">IF(Salary[[#This Row],[پایه حقوق]]&lt;=5600000,0,(Salary[[#This Row],[پایه حقوق]]-5600000)*0.1)</f>
        <v>0</v>
      </c>
      <c r="K554" s="16">
        <f t="shared" ca="1" si="52"/>
        <v>2992740</v>
      </c>
    </row>
    <row r="555" spans="1:11">
      <c r="A555" s="1">
        <v>9988453</v>
      </c>
      <c r="B555" s="7">
        <f t="shared" ca="1" si="48"/>
        <v>85</v>
      </c>
      <c r="C555" s="7">
        <f>MATCH(Salary[[#This Row],[ماه]],Calc!$A$16:$A$27,0)</f>
        <v>10</v>
      </c>
      <c r="D555" s="8" t="s">
        <v>95</v>
      </c>
      <c r="E555" s="9">
        <f t="shared" ca="1" si="53"/>
        <v>10938000</v>
      </c>
      <c r="F555" s="9">
        <f ca="1">0.7*E555</f>
        <v>7656599.9999999991</v>
      </c>
      <c r="G555" s="9">
        <f t="shared" ca="1" si="49"/>
        <v>18594600</v>
      </c>
      <c r="H555" s="9">
        <f t="shared" ca="1" si="50"/>
        <v>2515740</v>
      </c>
      <c r="I555" s="9">
        <f t="shared" ca="1" si="51"/>
        <v>765660.00000000012</v>
      </c>
      <c r="J555" s="22">
        <f ca="1">IF(Salary[[#This Row],[پایه حقوق]]&lt;=5600000,0,(Salary[[#This Row],[پایه حقوق]]-5600000)*0.1)</f>
        <v>533800</v>
      </c>
      <c r="K555" s="16">
        <f t="shared" ca="1" si="52"/>
        <v>17295140</v>
      </c>
    </row>
    <row r="556" spans="1:11">
      <c r="A556" s="1">
        <v>9988492</v>
      </c>
      <c r="B556" s="7">
        <f t="shared" ca="1" si="48"/>
        <v>54</v>
      </c>
      <c r="C556" s="7">
        <f>MATCH(Salary[[#This Row],[ماه]],Calc!$A$16:$A$27,0)</f>
        <v>10</v>
      </c>
      <c r="D556" s="8" t="s">
        <v>95</v>
      </c>
      <c r="E556" s="9">
        <f t="shared" ca="1" si="53"/>
        <v>11051000</v>
      </c>
      <c r="F556" s="9"/>
      <c r="G556" s="9">
        <f t="shared" ca="1" si="49"/>
        <v>11051000</v>
      </c>
      <c r="H556" s="9">
        <f t="shared" ca="1" si="50"/>
        <v>2541730</v>
      </c>
      <c r="I556" s="9">
        <f t="shared" ca="1" si="51"/>
        <v>773570.00000000012</v>
      </c>
      <c r="J556" s="22">
        <f ca="1">IF(Salary[[#This Row],[پایه حقوق]]&lt;=5600000,0,(Salary[[#This Row],[پایه حقوق]]-5600000)*0.1)</f>
        <v>545100</v>
      </c>
      <c r="K556" s="16">
        <f t="shared" ca="1" si="52"/>
        <v>9732330</v>
      </c>
    </row>
    <row r="557" spans="1:11">
      <c r="A557" s="1">
        <v>9988572</v>
      </c>
      <c r="B557" s="7">
        <f t="shared" ca="1" si="48"/>
        <v>62</v>
      </c>
      <c r="C557" s="7">
        <f>MATCH(Salary[[#This Row],[ماه]],Calc!$A$16:$A$27,0)</f>
        <v>10</v>
      </c>
      <c r="D557" s="8" t="s">
        <v>95</v>
      </c>
      <c r="E557" s="9">
        <f t="shared" ca="1" si="53"/>
        <v>4204000</v>
      </c>
      <c r="F557" s="9"/>
      <c r="G557" s="9">
        <f t="shared" ca="1" si="49"/>
        <v>4204000</v>
      </c>
      <c r="H557" s="9">
        <f t="shared" ca="1" si="50"/>
        <v>966920</v>
      </c>
      <c r="I557" s="9">
        <f t="shared" ca="1" si="51"/>
        <v>294280</v>
      </c>
      <c r="J557" s="22">
        <f ca="1">IF(Salary[[#This Row],[پایه حقوق]]&lt;=5600000,0,(Salary[[#This Row],[پایه حقوق]]-5600000)*0.1)</f>
        <v>0</v>
      </c>
      <c r="K557" s="16">
        <f t="shared" ca="1" si="52"/>
        <v>3909720</v>
      </c>
    </row>
    <row r="558" spans="1:11">
      <c r="A558" s="1">
        <v>9988618</v>
      </c>
      <c r="B558" s="7">
        <f t="shared" ca="1" si="48"/>
        <v>97</v>
      </c>
      <c r="C558" s="7">
        <f>MATCH(Salary[[#This Row],[ماه]],Calc!$A$16:$A$27,0)</f>
        <v>10</v>
      </c>
      <c r="D558" s="8" t="s">
        <v>95</v>
      </c>
      <c r="E558" s="9">
        <f t="shared" ca="1" si="53"/>
        <v>10842000</v>
      </c>
      <c r="F558" s="9"/>
      <c r="G558" s="9">
        <f t="shared" ca="1" si="49"/>
        <v>10842000</v>
      </c>
      <c r="H558" s="9">
        <f t="shared" ca="1" si="50"/>
        <v>2493660</v>
      </c>
      <c r="I558" s="9">
        <f t="shared" ca="1" si="51"/>
        <v>758940.00000000012</v>
      </c>
      <c r="J558" s="22">
        <f ca="1">IF(Salary[[#This Row],[پایه حقوق]]&lt;=5600000,0,(Salary[[#This Row],[پایه حقوق]]-5600000)*0.1)</f>
        <v>524200</v>
      </c>
      <c r="K558" s="16">
        <f t="shared" ca="1" si="52"/>
        <v>9558860</v>
      </c>
    </row>
    <row r="559" spans="1:11">
      <c r="A559" s="1">
        <v>9988657</v>
      </c>
      <c r="B559" s="7">
        <f t="shared" ca="1" si="48"/>
        <v>39</v>
      </c>
      <c r="C559" s="7">
        <f>MATCH(Salary[[#This Row],[ماه]],Calc!$A$16:$A$27,0)</f>
        <v>10</v>
      </c>
      <c r="D559" s="8" t="s">
        <v>95</v>
      </c>
      <c r="E559" s="9">
        <f t="shared" ca="1" si="53"/>
        <v>7125000</v>
      </c>
      <c r="F559" s="9"/>
      <c r="G559" s="9">
        <f t="shared" ca="1" si="49"/>
        <v>7125000</v>
      </c>
      <c r="H559" s="9">
        <f t="shared" ca="1" si="50"/>
        <v>1638750</v>
      </c>
      <c r="I559" s="9">
        <f t="shared" ca="1" si="51"/>
        <v>498750.00000000006</v>
      </c>
      <c r="J559" s="22">
        <f ca="1">IF(Salary[[#This Row],[پایه حقوق]]&lt;=5600000,0,(Salary[[#This Row],[پایه حقوق]]-5600000)*0.1)</f>
        <v>152500</v>
      </c>
      <c r="K559" s="16">
        <f t="shared" ca="1" si="52"/>
        <v>6473750</v>
      </c>
    </row>
    <row r="560" spans="1:11">
      <c r="A560" s="1">
        <v>9988677</v>
      </c>
      <c r="B560" s="7">
        <f t="shared" ca="1" si="48"/>
        <v>30</v>
      </c>
      <c r="C560" s="7">
        <f>MATCH(Salary[[#This Row],[ماه]],Calc!$A$16:$A$27,0)</f>
        <v>10</v>
      </c>
      <c r="D560" s="8" t="s">
        <v>95</v>
      </c>
      <c r="E560" s="9">
        <f t="shared" ca="1" si="53"/>
        <v>8037000</v>
      </c>
      <c r="F560" s="9"/>
      <c r="G560" s="9">
        <f t="shared" ca="1" si="49"/>
        <v>8037000</v>
      </c>
      <c r="H560" s="9">
        <f t="shared" ca="1" si="50"/>
        <v>1848510</v>
      </c>
      <c r="I560" s="9">
        <f t="shared" ca="1" si="51"/>
        <v>562590</v>
      </c>
      <c r="J560" s="22">
        <f ca="1">IF(Salary[[#This Row],[پایه حقوق]]&lt;=5600000,0,(Salary[[#This Row],[پایه حقوق]]-5600000)*0.1)</f>
        <v>243700</v>
      </c>
      <c r="K560" s="16">
        <f t="shared" ca="1" si="52"/>
        <v>7230710</v>
      </c>
    </row>
    <row r="561" spans="1:11">
      <c r="A561" s="1">
        <v>9988725</v>
      </c>
      <c r="B561" s="7">
        <f t="shared" ca="1" si="48"/>
        <v>82</v>
      </c>
      <c r="C561" s="7">
        <f>MATCH(Salary[[#This Row],[ماه]],Calc!$A$16:$A$27,0)</f>
        <v>10</v>
      </c>
      <c r="D561" s="8" t="s">
        <v>95</v>
      </c>
      <c r="E561" s="9">
        <f t="shared" ca="1" si="53"/>
        <v>10191000</v>
      </c>
      <c r="F561" s="9"/>
      <c r="G561" s="9">
        <f t="shared" ca="1" si="49"/>
        <v>10191000</v>
      </c>
      <c r="H561" s="9">
        <f t="shared" ca="1" si="50"/>
        <v>2343930</v>
      </c>
      <c r="I561" s="9">
        <f t="shared" ca="1" si="51"/>
        <v>713370.00000000012</v>
      </c>
      <c r="J561" s="22">
        <f ca="1">IF(Salary[[#This Row],[پایه حقوق]]&lt;=5600000,0,(Salary[[#This Row],[پایه حقوق]]-5600000)*0.1)</f>
        <v>459100</v>
      </c>
      <c r="K561" s="16">
        <f t="shared" ca="1" si="52"/>
        <v>9018530</v>
      </c>
    </row>
    <row r="562" spans="1:11">
      <c r="A562" s="1">
        <v>9988773</v>
      </c>
      <c r="B562" s="7">
        <f t="shared" ca="1" si="48"/>
        <v>52</v>
      </c>
      <c r="C562" s="7">
        <f>MATCH(Salary[[#This Row],[ماه]],Calc!$A$16:$A$27,0)</f>
        <v>10</v>
      </c>
      <c r="D562" s="8" t="s">
        <v>95</v>
      </c>
      <c r="E562" s="9">
        <f t="shared" ca="1" si="53"/>
        <v>14001000</v>
      </c>
      <c r="F562" s="9"/>
      <c r="G562" s="9">
        <f t="shared" ca="1" si="49"/>
        <v>14001000</v>
      </c>
      <c r="H562" s="9">
        <f t="shared" ca="1" si="50"/>
        <v>3220230</v>
      </c>
      <c r="I562" s="9">
        <f t="shared" ca="1" si="51"/>
        <v>980070.00000000012</v>
      </c>
      <c r="J562" s="22">
        <f ca="1">IF(Salary[[#This Row],[پایه حقوق]]&lt;=5600000,0,(Salary[[#This Row],[پایه حقوق]]-5600000)*0.1)</f>
        <v>840100</v>
      </c>
      <c r="K562" s="16">
        <f t="shared" ca="1" si="52"/>
        <v>12180830</v>
      </c>
    </row>
    <row r="563" spans="1:11">
      <c r="A563" s="1">
        <v>9988821</v>
      </c>
      <c r="B563" s="7">
        <f t="shared" ca="1" si="48"/>
        <v>75</v>
      </c>
      <c r="C563" s="7">
        <f>MATCH(Salary[[#This Row],[ماه]],Calc!$A$16:$A$27,0)</f>
        <v>10</v>
      </c>
      <c r="D563" s="8" t="s">
        <v>95</v>
      </c>
      <c r="E563" s="9">
        <f t="shared" ca="1" si="53"/>
        <v>14328000</v>
      </c>
      <c r="F563" s="9"/>
      <c r="G563" s="9">
        <f t="shared" ca="1" si="49"/>
        <v>14328000</v>
      </c>
      <c r="H563" s="9">
        <f t="shared" ca="1" si="50"/>
        <v>3295440</v>
      </c>
      <c r="I563" s="9">
        <f t="shared" ca="1" si="51"/>
        <v>1002960.0000000001</v>
      </c>
      <c r="J563" s="22">
        <f ca="1">IF(Salary[[#This Row],[پایه حقوق]]&lt;=5600000,0,(Salary[[#This Row],[پایه حقوق]]-5600000)*0.1)</f>
        <v>872800</v>
      </c>
      <c r="K563" s="16">
        <f t="shared" ca="1" si="52"/>
        <v>12452240</v>
      </c>
    </row>
    <row r="564" spans="1:11">
      <c r="A564" s="1">
        <v>9988869</v>
      </c>
      <c r="B564" s="7">
        <f t="shared" ca="1" si="48"/>
        <v>41</v>
      </c>
      <c r="C564" s="7">
        <f>MATCH(Salary[[#This Row],[ماه]],Calc!$A$16:$A$27,0)</f>
        <v>10</v>
      </c>
      <c r="D564" s="8" t="s">
        <v>95</v>
      </c>
      <c r="E564" s="9">
        <f t="shared" ca="1" si="53"/>
        <v>8582000</v>
      </c>
      <c r="F564" s="9"/>
      <c r="G564" s="9">
        <f t="shared" ca="1" si="49"/>
        <v>8582000</v>
      </c>
      <c r="H564" s="9">
        <f t="shared" ca="1" si="50"/>
        <v>1973860</v>
      </c>
      <c r="I564" s="9">
        <f t="shared" ca="1" si="51"/>
        <v>600740</v>
      </c>
      <c r="J564" s="22">
        <f ca="1">IF(Salary[[#This Row],[پایه حقوق]]&lt;=5600000,0,(Salary[[#This Row],[پایه حقوق]]-5600000)*0.1)</f>
        <v>298200</v>
      </c>
      <c r="K564" s="16">
        <f t="shared" ca="1" si="52"/>
        <v>7683060</v>
      </c>
    </row>
    <row r="565" spans="1:11">
      <c r="A565" s="1">
        <v>9988917</v>
      </c>
      <c r="B565" s="7">
        <f t="shared" ca="1" si="48"/>
        <v>39</v>
      </c>
      <c r="C565" s="7">
        <f>MATCH(Salary[[#This Row],[ماه]],Calc!$A$16:$A$27,0)</f>
        <v>10</v>
      </c>
      <c r="D565" s="8" t="s">
        <v>95</v>
      </c>
      <c r="E565" s="9">
        <f t="shared" ca="1" si="53"/>
        <v>8467000</v>
      </c>
      <c r="F565" s="9"/>
      <c r="G565" s="9">
        <f t="shared" ca="1" si="49"/>
        <v>8467000</v>
      </c>
      <c r="H565" s="9">
        <f t="shared" ca="1" si="50"/>
        <v>1947410</v>
      </c>
      <c r="I565" s="9">
        <f t="shared" ca="1" si="51"/>
        <v>592690</v>
      </c>
      <c r="J565" s="22">
        <f ca="1">IF(Salary[[#This Row],[پایه حقوق]]&lt;=5600000,0,(Salary[[#This Row],[پایه حقوق]]-5600000)*0.1)</f>
        <v>286700</v>
      </c>
      <c r="K565" s="16">
        <f t="shared" ca="1" si="52"/>
        <v>7587610</v>
      </c>
    </row>
    <row r="566" spans="1:11">
      <c r="A566" s="1">
        <v>9988965</v>
      </c>
      <c r="B566" s="7">
        <f t="shared" ca="1" si="48"/>
        <v>61</v>
      </c>
      <c r="C566" s="7">
        <f>MATCH(Salary[[#This Row],[ماه]],Calc!$A$16:$A$27,0)</f>
        <v>10</v>
      </c>
      <c r="D566" s="8" t="s">
        <v>95</v>
      </c>
      <c r="E566" s="9">
        <f t="shared" ca="1" si="53"/>
        <v>14760000</v>
      </c>
      <c r="F566" s="9"/>
      <c r="G566" s="9">
        <f t="shared" ca="1" si="49"/>
        <v>14760000</v>
      </c>
      <c r="H566" s="9">
        <f t="shared" ca="1" si="50"/>
        <v>3394800</v>
      </c>
      <c r="I566" s="9">
        <f t="shared" ca="1" si="51"/>
        <v>1033200.0000000001</v>
      </c>
      <c r="J566" s="22">
        <f ca="1">IF(Salary[[#This Row],[پایه حقوق]]&lt;=5600000,0,(Salary[[#This Row],[پایه حقوق]]-5600000)*0.1)</f>
        <v>916000</v>
      </c>
      <c r="K566" s="16">
        <f t="shared" ca="1" si="52"/>
        <v>12810800</v>
      </c>
    </row>
    <row r="567" spans="1:11">
      <c r="A567" s="1">
        <v>9989013</v>
      </c>
      <c r="B567" s="7">
        <f t="shared" ca="1" si="48"/>
        <v>81</v>
      </c>
      <c r="C567" s="7">
        <f>MATCH(Salary[[#This Row],[ماه]],Calc!$A$16:$A$27,0)</f>
        <v>10</v>
      </c>
      <c r="D567" s="8" t="s">
        <v>95</v>
      </c>
      <c r="E567" s="9">
        <f t="shared" ca="1" si="53"/>
        <v>5614000</v>
      </c>
      <c r="F567" s="9"/>
      <c r="G567" s="9">
        <f t="shared" ca="1" si="49"/>
        <v>5614000</v>
      </c>
      <c r="H567" s="9">
        <f t="shared" ca="1" si="50"/>
        <v>1291220</v>
      </c>
      <c r="I567" s="9">
        <f t="shared" ca="1" si="51"/>
        <v>392980.00000000006</v>
      </c>
      <c r="J567" s="22">
        <f ca="1">IF(Salary[[#This Row],[پایه حقوق]]&lt;=5600000,0,(Salary[[#This Row],[پایه حقوق]]-5600000)*0.1)</f>
        <v>1400</v>
      </c>
      <c r="K567" s="16">
        <f t="shared" ca="1" si="52"/>
        <v>5219620</v>
      </c>
    </row>
    <row r="568" spans="1:11">
      <c r="A568" s="1">
        <v>9989061</v>
      </c>
      <c r="B568" s="7">
        <f t="shared" ca="1" si="48"/>
        <v>60</v>
      </c>
      <c r="C568" s="7">
        <f>MATCH(Salary[[#This Row],[ماه]],Calc!$A$16:$A$27,0)</f>
        <v>10</v>
      </c>
      <c r="D568" s="8" t="s">
        <v>95</v>
      </c>
      <c r="E568" s="9">
        <f t="shared" ca="1" si="53"/>
        <v>9949000</v>
      </c>
      <c r="F568" s="9"/>
      <c r="G568" s="9">
        <f t="shared" ca="1" si="49"/>
        <v>9949000</v>
      </c>
      <c r="H568" s="9">
        <f t="shared" ca="1" si="50"/>
        <v>2288270</v>
      </c>
      <c r="I568" s="9">
        <f t="shared" ca="1" si="51"/>
        <v>696430.00000000012</v>
      </c>
      <c r="J568" s="22">
        <f ca="1">IF(Salary[[#This Row],[پایه حقوق]]&lt;=5600000,0,(Salary[[#This Row],[پایه حقوق]]-5600000)*0.1)</f>
        <v>434900</v>
      </c>
      <c r="K568" s="16">
        <f t="shared" ca="1" si="52"/>
        <v>8817670</v>
      </c>
    </row>
    <row r="569" spans="1:11">
      <c r="A569" s="1">
        <v>9989109</v>
      </c>
      <c r="B569" s="7">
        <f t="shared" ca="1" si="48"/>
        <v>80</v>
      </c>
      <c r="C569" s="7">
        <f>MATCH(Salary[[#This Row],[ماه]],Calc!$A$16:$A$27,0)</f>
        <v>10</v>
      </c>
      <c r="D569" s="8" t="s">
        <v>95</v>
      </c>
      <c r="E569" s="9">
        <f t="shared" ca="1" si="53"/>
        <v>5871000</v>
      </c>
      <c r="F569" s="9"/>
      <c r="G569" s="9">
        <f t="shared" ca="1" si="49"/>
        <v>5871000</v>
      </c>
      <c r="H569" s="9">
        <f t="shared" ca="1" si="50"/>
        <v>1350330</v>
      </c>
      <c r="I569" s="9">
        <f t="shared" ca="1" si="51"/>
        <v>410970.00000000006</v>
      </c>
      <c r="J569" s="22">
        <f ca="1">IF(Salary[[#This Row],[پایه حقوق]]&lt;=5600000,0,(Salary[[#This Row],[پایه حقوق]]-5600000)*0.1)</f>
        <v>27100</v>
      </c>
      <c r="K569" s="16">
        <f t="shared" ca="1" si="52"/>
        <v>5432930</v>
      </c>
    </row>
    <row r="570" spans="1:11">
      <c r="A570" s="1">
        <v>9989157</v>
      </c>
      <c r="B570" s="7">
        <f t="shared" ca="1" si="48"/>
        <v>83</v>
      </c>
      <c r="C570" s="7">
        <f>MATCH(Salary[[#This Row],[ماه]],Calc!$A$16:$A$27,0)</f>
        <v>10</v>
      </c>
      <c r="D570" s="8" t="s">
        <v>95</v>
      </c>
      <c r="E570" s="9">
        <f t="shared" ca="1" si="53"/>
        <v>3105000</v>
      </c>
      <c r="F570" s="9"/>
      <c r="G570" s="9">
        <f t="shared" ca="1" si="49"/>
        <v>3105000</v>
      </c>
      <c r="H570" s="9">
        <f t="shared" ca="1" si="50"/>
        <v>714150</v>
      </c>
      <c r="I570" s="9">
        <f t="shared" ca="1" si="51"/>
        <v>217350.00000000003</v>
      </c>
      <c r="J570" s="22">
        <f ca="1">IF(Salary[[#This Row],[پایه حقوق]]&lt;=5600000,0,(Salary[[#This Row],[پایه حقوق]]-5600000)*0.1)</f>
        <v>0</v>
      </c>
      <c r="K570" s="16">
        <f t="shared" ca="1" si="52"/>
        <v>2887650</v>
      </c>
    </row>
    <row r="571" spans="1:11">
      <c r="A571" s="1">
        <v>9989205</v>
      </c>
      <c r="B571" s="7">
        <f t="shared" ca="1" si="48"/>
        <v>82</v>
      </c>
      <c r="C571" s="7">
        <f>MATCH(Salary[[#This Row],[ماه]],Calc!$A$16:$A$27,0)</f>
        <v>10</v>
      </c>
      <c r="D571" s="8" t="s">
        <v>95</v>
      </c>
      <c r="E571" s="9">
        <f t="shared" ca="1" si="53"/>
        <v>14382000</v>
      </c>
      <c r="F571" s="9"/>
      <c r="G571" s="9">
        <f t="shared" ca="1" si="49"/>
        <v>14382000</v>
      </c>
      <c r="H571" s="9">
        <f t="shared" ca="1" si="50"/>
        <v>3307860</v>
      </c>
      <c r="I571" s="9">
        <f t="shared" ca="1" si="51"/>
        <v>1006740.0000000001</v>
      </c>
      <c r="J571" s="22">
        <f ca="1">IF(Salary[[#This Row],[پایه حقوق]]&lt;=5600000,0,(Salary[[#This Row],[پایه حقوق]]-5600000)*0.1)</f>
        <v>878200</v>
      </c>
      <c r="K571" s="16">
        <f t="shared" ca="1" si="52"/>
        <v>12497060</v>
      </c>
    </row>
    <row r="572" spans="1:11">
      <c r="A572" s="1">
        <v>9989253</v>
      </c>
      <c r="B572" s="7">
        <f t="shared" ca="1" si="48"/>
        <v>45</v>
      </c>
      <c r="C572" s="7">
        <f>MATCH(Salary[[#This Row],[ماه]],Calc!$A$16:$A$27,0)</f>
        <v>10</v>
      </c>
      <c r="D572" s="8" t="s">
        <v>95</v>
      </c>
      <c r="E572" s="9">
        <f t="shared" ca="1" si="53"/>
        <v>5565000</v>
      </c>
      <c r="F572" s="9"/>
      <c r="G572" s="9">
        <f t="shared" ca="1" si="49"/>
        <v>5565000</v>
      </c>
      <c r="H572" s="9">
        <f t="shared" ca="1" si="50"/>
        <v>1279950</v>
      </c>
      <c r="I572" s="9">
        <f t="shared" ca="1" si="51"/>
        <v>389550.00000000006</v>
      </c>
      <c r="J572" s="22">
        <f ca="1">IF(Salary[[#This Row],[پایه حقوق]]&lt;=5600000,0,(Salary[[#This Row],[پایه حقوق]]-5600000)*0.1)</f>
        <v>0</v>
      </c>
      <c r="K572" s="16">
        <f t="shared" ca="1" si="52"/>
        <v>5175450</v>
      </c>
    </row>
    <row r="573" spans="1:11">
      <c r="A573" s="1">
        <v>9989301</v>
      </c>
      <c r="B573" s="7">
        <f t="shared" ca="1" si="48"/>
        <v>71</v>
      </c>
      <c r="C573" s="7">
        <f>MATCH(Salary[[#This Row],[ماه]],Calc!$A$16:$A$27,0)</f>
        <v>10</v>
      </c>
      <c r="D573" s="8" t="s">
        <v>95</v>
      </c>
      <c r="E573" s="9">
        <f t="shared" ca="1" si="53"/>
        <v>4802000</v>
      </c>
      <c r="F573" s="9"/>
      <c r="G573" s="9">
        <f t="shared" ca="1" si="49"/>
        <v>4802000</v>
      </c>
      <c r="H573" s="9">
        <f t="shared" ca="1" si="50"/>
        <v>1104460</v>
      </c>
      <c r="I573" s="9">
        <f t="shared" ca="1" si="51"/>
        <v>336140.00000000006</v>
      </c>
      <c r="J573" s="22">
        <f ca="1">IF(Salary[[#This Row],[پایه حقوق]]&lt;=5600000,0,(Salary[[#This Row],[پایه حقوق]]-5600000)*0.1)</f>
        <v>0</v>
      </c>
      <c r="K573" s="16">
        <f t="shared" ca="1" si="52"/>
        <v>4465860</v>
      </c>
    </row>
    <row r="574" spans="1:11">
      <c r="A574" s="1">
        <v>9989349</v>
      </c>
      <c r="B574" s="7">
        <f t="shared" ca="1" si="48"/>
        <v>32</v>
      </c>
      <c r="C574" s="7">
        <f>MATCH(Salary[[#This Row],[ماه]],Calc!$A$16:$A$27,0)</f>
        <v>10</v>
      </c>
      <c r="D574" s="8" t="s">
        <v>95</v>
      </c>
      <c r="E574" s="9">
        <f t="shared" ca="1" si="53"/>
        <v>12169000</v>
      </c>
      <c r="F574" s="9"/>
      <c r="G574" s="9">
        <f t="shared" ca="1" si="49"/>
        <v>12169000</v>
      </c>
      <c r="H574" s="9">
        <f t="shared" ca="1" si="50"/>
        <v>2798870</v>
      </c>
      <c r="I574" s="9">
        <f t="shared" ca="1" si="51"/>
        <v>851830.00000000012</v>
      </c>
      <c r="J574" s="22">
        <f ca="1">IF(Salary[[#This Row],[پایه حقوق]]&lt;=5600000,0,(Salary[[#This Row],[پایه حقوق]]-5600000)*0.1)</f>
        <v>656900</v>
      </c>
      <c r="K574" s="16">
        <f t="shared" ca="1" si="52"/>
        <v>10660270</v>
      </c>
    </row>
    <row r="575" spans="1:11">
      <c r="A575" s="1">
        <v>9989397</v>
      </c>
      <c r="B575" s="7">
        <f t="shared" ca="1" si="48"/>
        <v>93</v>
      </c>
      <c r="C575" s="7">
        <f>MATCH(Salary[[#This Row],[ماه]],Calc!$A$16:$A$27,0)</f>
        <v>10</v>
      </c>
      <c r="D575" s="8" t="s">
        <v>95</v>
      </c>
      <c r="E575" s="9">
        <f t="shared" ca="1" si="53"/>
        <v>6544000</v>
      </c>
      <c r="F575" s="9"/>
      <c r="G575" s="9">
        <f t="shared" ca="1" si="49"/>
        <v>6544000</v>
      </c>
      <c r="H575" s="9">
        <f t="shared" ca="1" si="50"/>
        <v>1505120</v>
      </c>
      <c r="I575" s="9">
        <f t="shared" ca="1" si="51"/>
        <v>458080.00000000006</v>
      </c>
      <c r="J575" s="22">
        <f ca="1">IF(Salary[[#This Row],[پایه حقوق]]&lt;=5600000,0,(Salary[[#This Row],[پایه حقوق]]-5600000)*0.1)</f>
        <v>94400</v>
      </c>
      <c r="K575" s="16">
        <f t="shared" ca="1" si="52"/>
        <v>5991520</v>
      </c>
    </row>
    <row r="576" spans="1:11">
      <c r="A576" s="1">
        <v>9989445</v>
      </c>
      <c r="B576" s="7">
        <f t="shared" ca="1" si="48"/>
        <v>62</v>
      </c>
      <c r="C576" s="7">
        <f>MATCH(Salary[[#This Row],[ماه]],Calc!$A$16:$A$27,0)</f>
        <v>10</v>
      </c>
      <c r="D576" s="8" t="s">
        <v>95</v>
      </c>
      <c r="E576" s="9">
        <f t="shared" ca="1" si="53"/>
        <v>10791000</v>
      </c>
      <c r="F576" s="9"/>
      <c r="G576" s="9">
        <f t="shared" ca="1" si="49"/>
        <v>10791000</v>
      </c>
      <c r="H576" s="9">
        <f t="shared" ca="1" si="50"/>
        <v>2481930</v>
      </c>
      <c r="I576" s="9">
        <f t="shared" ca="1" si="51"/>
        <v>755370.00000000012</v>
      </c>
      <c r="J576" s="22">
        <f ca="1">IF(Salary[[#This Row],[پایه حقوق]]&lt;=5600000,0,(Salary[[#This Row],[پایه حقوق]]-5600000)*0.1)</f>
        <v>519100</v>
      </c>
      <c r="K576" s="16">
        <f t="shared" ca="1" si="52"/>
        <v>9516530</v>
      </c>
    </row>
    <row r="577" spans="1:11">
      <c r="A577" s="1">
        <v>9989493</v>
      </c>
      <c r="B577" s="7">
        <f t="shared" ca="1" si="48"/>
        <v>46</v>
      </c>
      <c r="C577" s="7">
        <f>MATCH(Salary[[#This Row],[ماه]],Calc!$A$16:$A$27,0)</f>
        <v>10</v>
      </c>
      <c r="D577" s="8" t="s">
        <v>95</v>
      </c>
      <c r="E577" s="9">
        <f t="shared" ca="1" si="53"/>
        <v>9191000</v>
      </c>
      <c r="F577" s="9"/>
      <c r="G577" s="9">
        <f t="shared" ca="1" si="49"/>
        <v>9191000</v>
      </c>
      <c r="H577" s="9">
        <f t="shared" ca="1" si="50"/>
        <v>2113930</v>
      </c>
      <c r="I577" s="9">
        <f t="shared" ca="1" si="51"/>
        <v>643370.00000000012</v>
      </c>
      <c r="J577" s="22">
        <f ca="1">IF(Salary[[#This Row],[پایه حقوق]]&lt;=5600000,0,(Salary[[#This Row],[پایه حقوق]]-5600000)*0.1)</f>
        <v>359100</v>
      </c>
      <c r="K577" s="16">
        <f t="shared" ca="1" si="52"/>
        <v>8188530</v>
      </c>
    </row>
    <row r="578" spans="1:11">
      <c r="A578" s="1">
        <v>9989541</v>
      </c>
      <c r="B578" s="7">
        <f t="shared" ref="B578:B641" ca="1" si="54">RANDBETWEEN(30,100)</f>
        <v>98</v>
      </c>
      <c r="C578" s="7">
        <f>MATCH(Salary[[#This Row],[ماه]],Calc!$A$16:$A$27,0)</f>
        <v>10</v>
      </c>
      <c r="D578" s="8" t="s">
        <v>95</v>
      </c>
      <c r="E578" s="9">
        <f t="shared" ca="1" si="53"/>
        <v>10538000</v>
      </c>
      <c r="F578" s="9"/>
      <c r="G578" s="9">
        <f t="shared" ref="G578:G641" ca="1" si="55">E578+F578</f>
        <v>10538000</v>
      </c>
      <c r="H578" s="9">
        <f t="shared" ref="H578:H641" ca="1" si="56">0.23*E578</f>
        <v>2423740</v>
      </c>
      <c r="I578" s="9">
        <f t="shared" ref="I578:I641" ca="1" si="57">0.07*E578</f>
        <v>737660.00000000012</v>
      </c>
      <c r="J578" s="22">
        <f ca="1">IF(Salary[[#This Row],[پایه حقوق]]&lt;=5600000,0,(Salary[[#This Row],[پایه حقوق]]-5600000)*0.1)</f>
        <v>493800</v>
      </c>
      <c r="K578" s="16">
        <f t="shared" ref="K578:K641" ca="1" si="58">G578-I578-J578</f>
        <v>9306540</v>
      </c>
    </row>
    <row r="579" spans="1:11">
      <c r="A579" s="1">
        <v>9989589</v>
      </c>
      <c r="B579" s="7">
        <f t="shared" ca="1" si="54"/>
        <v>85</v>
      </c>
      <c r="C579" s="7">
        <f>MATCH(Salary[[#This Row],[ماه]],Calc!$A$16:$A$27,0)</f>
        <v>10</v>
      </c>
      <c r="D579" s="8" t="s">
        <v>95</v>
      </c>
      <c r="E579" s="9">
        <f t="shared" ref="E579:E642" ca="1" si="59">RANDBETWEEN(3000,15000)*1000</f>
        <v>12062000</v>
      </c>
      <c r="F579" s="9"/>
      <c r="G579" s="9">
        <f t="shared" ca="1" si="55"/>
        <v>12062000</v>
      </c>
      <c r="H579" s="9">
        <f t="shared" ca="1" si="56"/>
        <v>2774260</v>
      </c>
      <c r="I579" s="9">
        <f t="shared" ca="1" si="57"/>
        <v>844340.00000000012</v>
      </c>
      <c r="J579" s="22">
        <f ca="1">IF(Salary[[#This Row],[پایه حقوق]]&lt;=5600000,0,(Salary[[#This Row],[پایه حقوق]]-5600000)*0.1)</f>
        <v>646200</v>
      </c>
      <c r="K579" s="16">
        <f t="shared" ca="1" si="58"/>
        <v>10571460</v>
      </c>
    </row>
    <row r="580" spans="1:11">
      <c r="A580" s="1">
        <v>9989637</v>
      </c>
      <c r="B580" s="7">
        <f t="shared" ca="1" si="54"/>
        <v>62</v>
      </c>
      <c r="C580" s="7">
        <f>MATCH(Salary[[#This Row],[ماه]],Calc!$A$16:$A$27,0)</f>
        <v>10</v>
      </c>
      <c r="D580" s="8" t="s">
        <v>95</v>
      </c>
      <c r="E580" s="9">
        <f t="shared" ca="1" si="59"/>
        <v>5748000</v>
      </c>
      <c r="F580" s="9"/>
      <c r="G580" s="9">
        <f t="shared" ca="1" si="55"/>
        <v>5748000</v>
      </c>
      <c r="H580" s="9">
        <f t="shared" ca="1" si="56"/>
        <v>1322040</v>
      </c>
      <c r="I580" s="9">
        <f t="shared" ca="1" si="57"/>
        <v>402360.00000000006</v>
      </c>
      <c r="J580" s="22">
        <f ca="1">IF(Salary[[#This Row],[پایه حقوق]]&lt;=5600000,0,(Salary[[#This Row],[پایه حقوق]]-5600000)*0.1)</f>
        <v>14800</v>
      </c>
      <c r="K580" s="16">
        <f t="shared" ca="1" si="58"/>
        <v>5330840</v>
      </c>
    </row>
    <row r="581" spans="1:11">
      <c r="A581" s="1">
        <v>9989685</v>
      </c>
      <c r="B581" s="7">
        <f t="shared" ca="1" si="54"/>
        <v>45</v>
      </c>
      <c r="C581" s="7">
        <f>MATCH(Salary[[#This Row],[ماه]],Calc!$A$16:$A$27,0)</f>
        <v>10</v>
      </c>
      <c r="D581" s="8" t="s">
        <v>95</v>
      </c>
      <c r="E581" s="9">
        <f t="shared" ca="1" si="59"/>
        <v>3133000</v>
      </c>
      <c r="F581" s="9"/>
      <c r="G581" s="9">
        <f t="shared" ca="1" si="55"/>
        <v>3133000</v>
      </c>
      <c r="H581" s="9">
        <f t="shared" ca="1" si="56"/>
        <v>720590</v>
      </c>
      <c r="I581" s="9">
        <f t="shared" ca="1" si="57"/>
        <v>219310.00000000003</v>
      </c>
      <c r="J581" s="22">
        <f ca="1">IF(Salary[[#This Row],[پایه حقوق]]&lt;=5600000,0,(Salary[[#This Row],[پایه حقوق]]-5600000)*0.1)</f>
        <v>0</v>
      </c>
      <c r="K581" s="16">
        <f t="shared" ca="1" si="58"/>
        <v>2913690</v>
      </c>
    </row>
    <row r="582" spans="1:11">
      <c r="A582" s="1">
        <v>9989733</v>
      </c>
      <c r="B582" s="7">
        <f t="shared" ca="1" si="54"/>
        <v>87</v>
      </c>
      <c r="C582" s="7">
        <f>MATCH(Salary[[#This Row],[ماه]],Calc!$A$16:$A$27,0)</f>
        <v>10</v>
      </c>
      <c r="D582" s="8" t="s">
        <v>95</v>
      </c>
      <c r="E582" s="9">
        <f t="shared" ca="1" si="59"/>
        <v>10230000</v>
      </c>
      <c r="F582" s="9"/>
      <c r="G582" s="9">
        <f t="shared" ca="1" si="55"/>
        <v>10230000</v>
      </c>
      <c r="H582" s="9">
        <f t="shared" ca="1" si="56"/>
        <v>2352900</v>
      </c>
      <c r="I582" s="9">
        <f t="shared" ca="1" si="57"/>
        <v>716100.00000000012</v>
      </c>
      <c r="J582" s="22">
        <f ca="1">IF(Salary[[#This Row],[پایه حقوق]]&lt;=5600000,0,(Salary[[#This Row],[پایه حقوق]]-5600000)*0.1)</f>
        <v>463000</v>
      </c>
      <c r="K582" s="16">
        <f t="shared" ca="1" si="58"/>
        <v>9050900</v>
      </c>
    </row>
    <row r="583" spans="1:11">
      <c r="A583" s="1">
        <v>9989781</v>
      </c>
      <c r="B583" s="7">
        <f t="shared" ca="1" si="54"/>
        <v>33</v>
      </c>
      <c r="C583" s="7">
        <f>MATCH(Salary[[#This Row],[ماه]],Calc!$A$16:$A$27,0)</f>
        <v>10</v>
      </c>
      <c r="D583" s="8" t="s">
        <v>95</v>
      </c>
      <c r="E583" s="9">
        <f t="shared" ca="1" si="59"/>
        <v>9269000</v>
      </c>
      <c r="F583" s="9"/>
      <c r="G583" s="9">
        <f t="shared" ca="1" si="55"/>
        <v>9269000</v>
      </c>
      <c r="H583" s="9">
        <f t="shared" ca="1" si="56"/>
        <v>2131870</v>
      </c>
      <c r="I583" s="9">
        <f t="shared" ca="1" si="57"/>
        <v>648830.00000000012</v>
      </c>
      <c r="J583" s="22">
        <f ca="1">IF(Salary[[#This Row],[پایه حقوق]]&lt;=5600000,0,(Salary[[#This Row],[پایه حقوق]]-5600000)*0.1)</f>
        <v>366900</v>
      </c>
      <c r="K583" s="16">
        <f t="shared" ca="1" si="58"/>
        <v>8253270</v>
      </c>
    </row>
    <row r="584" spans="1:11">
      <c r="A584" s="1">
        <v>9989829</v>
      </c>
      <c r="B584" s="7">
        <f t="shared" ca="1" si="54"/>
        <v>76</v>
      </c>
      <c r="C584" s="7">
        <f>MATCH(Salary[[#This Row],[ماه]],Calc!$A$16:$A$27,0)</f>
        <v>10</v>
      </c>
      <c r="D584" s="8" t="s">
        <v>95</v>
      </c>
      <c r="E584" s="9">
        <f t="shared" ca="1" si="59"/>
        <v>4925000</v>
      </c>
      <c r="F584" s="9"/>
      <c r="G584" s="9">
        <f t="shared" ca="1" si="55"/>
        <v>4925000</v>
      </c>
      <c r="H584" s="9">
        <f t="shared" ca="1" si="56"/>
        <v>1132750</v>
      </c>
      <c r="I584" s="9">
        <f t="shared" ca="1" si="57"/>
        <v>344750.00000000006</v>
      </c>
      <c r="J584" s="22">
        <f ca="1">IF(Salary[[#This Row],[پایه حقوق]]&lt;=5600000,0,(Salary[[#This Row],[پایه حقوق]]-5600000)*0.1)</f>
        <v>0</v>
      </c>
      <c r="K584" s="16">
        <f t="shared" ca="1" si="58"/>
        <v>4580250</v>
      </c>
    </row>
    <row r="585" spans="1:11">
      <c r="A585" s="1">
        <v>9989877</v>
      </c>
      <c r="B585" s="7">
        <f t="shared" ca="1" si="54"/>
        <v>89</v>
      </c>
      <c r="C585" s="7">
        <f>MATCH(Salary[[#This Row],[ماه]],Calc!$A$16:$A$27,0)</f>
        <v>10</v>
      </c>
      <c r="D585" s="8" t="s">
        <v>95</v>
      </c>
      <c r="E585" s="9">
        <f t="shared" ca="1" si="59"/>
        <v>3075000</v>
      </c>
      <c r="F585" s="9"/>
      <c r="G585" s="9">
        <f t="shared" ca="1" si="55"/>
        <v>3075000</v>
      </c>
      <c r="H585" s="9">
        <f t="shared" ca="1" si="56"/>
        <v>707250</v>
      </c>
      <c r="I585" s="9">
        <f t="shared" ca="1" si="57"/>
        <v>215250.00000000003</v>
      </c>
      <c r="J585" s="22">
        <f ca="1">IF(Salary[[#This Row],[پایه حقوق]]&lt;=5600000,0,(Salary[[#This Row],[پایه حقوق]]-5600000)*0.1)</f>
        <v>0</v>
      </c>
      <c r="K585" s="16">
        <f t="shared" ca="1" si="58"/>
        <v>2859750</v>
      </c>
    </row>
    <row r="586" spans="1:11">
      <c r="A586" s="1">
        <v>9989925</v>
      </c>
      <c r="B586" s="7">
        <f t="shared" ca="1" si="54"/>
        <v>80</v>
      </c>
      <c r="C586" s="7">
        <f>MATCH(Salary[[#This Row],[ماه]],Calc!$A$16:$A$27,0)</f>
        <v>10</v>
      </c>
      <c r="D586" s="8" t="s">
        <v>95</v>
      </c>
      <c r="E586" s="9">
        <f t="shared" ca="1" si="59"/>
        <v>11022000</v>
      </c>
      <c r="F586" s="9"/>
      <c r="G586" s="9">
        <f t="shared" ca="1" si="55"/>
        <v>11022000</v>
      </c>
      <c r="H586" s="9">
        <f t="shared" ca="1" si="56"/>
        <v>2535060</v>
      </c>
      <c r="I586" s="9">
        <f t="shared" ca="1" si="57"/>
        <v>771540.00000000012</v>
      </c>
      <c r="J586" s="22">
        <f ca="1">IF(Salary[[#This Row],[پایه حقوق]]&lt;=5600000,0,(Salary[[#This Row],[پایه حقوق]]-5600000)*0.1)</f>
        <v>542200</v>
      </c>
      <c r="K586" s="16">
        <f t="shared" ca="1" si="58"/>
        <v>9708260</v>
      </c>
    </row>
    <row r="587" spans="1:11">
      <c r="A587" s="1">
        <v>9989973</v>
      </c>
      <c r="B587" s="7">
        <f t="shared" ca="1" si="54"/>
        <v>34</v>
      </c>
      <c r="C587" s="7">
        <f>MATCH(Salary[[#This Row],[ماه]],Calc!$A$16:$A$27,0)</f>
        <v>10</v>
      </c>
      <c r="D587" s="8" t="s">
        <v>95</v>
      </c>
      <c r="E587" s="9">
        <f t="shared" ca="1" si="59"/>
        <v>9638000</v>
      </c>
      <c r="F587" s="9"/>
      <c r="G587" s="9">
        <f t="shared" ca="1" si="55"/>
        <v>9638000</v>
      </c>
      <c r="H587" s="9">
        <f t="shared" ca="1" si="56"/>
        <v>2216740</v>
      </c>
      <c r="I587" s="9">
        <f t="shared" ca="1" si="57"/>
        <v>674660.00000000012</v>
      </c>
      <c r="J587" s="22">
        <f ca="1">IF(Salary[[#This Row],[پایه حقوق]]&lt;=5600000,0,(Salary[[#This Row],[پایه حقوق]]-5600000)*0.1)</f>
        <v>403800</v>
      </c>
      <c r="K587" s="16">
        <f t="shared" ca="1" si="58"/>
        <v>8559540</v>
      </c>
    </row>
    <row r="588" spans="1:11">
      <c r="A588" s="1">
        <v>9990021</v>
      </c>
      <c r="B588" s="7">
        <f t="shared" ca="1" si="54"/>
        <v>96</v>
      </c>
      <c r="C588" s="7">
        <f>MATCH(Salary[[#This Row],[ماه]],Calc!$A$16:$A$27,0)</f>
        <v>10</v>
      </c>
      <c r="D588" s="8" t="s">
        <v>95</v>
      </c>
      <c r="E588" s="9">
        <f t="shared" ca="1" si="59"/>
        <v>13398000</v>
      </c>
      <c r="F588" s="9"/>
      <c r="G588" s="9">
        <f t="shared" ca="1" si="55"/>
        <v>13398000</v>
      </c>
      <c r="H588" s="9">
        <f t="shared" ca="1" si="56"/>
        <v>3081540</v>
      </c>
      <c r="I588" s="9">
        <f t="shared" ca="1" si="57"/>
        <v>937860.00000000012</v>
      </c>
      <c r="J588" s="22">
        <f ca="1">IF(Salary[[#This Row],[پایه حقوق]]&lt;=5600000,0,(Salary[[#This Row],[پایه حقوق]]-5600000)*0.1)</f>
        <v>779800</v>
      </c>
      <c r="K588" s="16">
        <f t="shared" ca="1" si="58"/>
        <v>11680340</v>
      </c>
    </row>
    <row r="589" spans="1:11">
      <c r="A589" s="1">
        <v>9990069</v>
      </c>
      <c r="B589" s="7">
        <f t="shared" ca="1" si="54"/>
        <v>74</v>
      </c>
      <c r="C589" s="7">
        <f>MATCH(Salary[[#This Row],[ماه]],Calc!$A$16:$A$27,0)</f>
        <v>10</v>
      </c>
      <c r="D589" s="8" t="s">
        <v>95</v>
      </c>
      <c r="E589" s="9">
        <f t="shared" ca="1" si="59"/>
        <v>9697000</v>
      </c>
      <c r="F589" s="9"/>
      <c r="G589" s="9">
        <f t="shared" ca="1" si="55"/>
        <v>9697000</v>
      </c>
      <c r="H589" s="9">
        <f t="shared" ca="1" si="56"/>
        <v>2230310</v>
      </c>
      <c r="I589" s="9">
        <f t="shared" ca="1" si="57"/>
        <v>678790.00000000012</v>
      </c>
      <c r="J589" s="22">
        <f ca="1">IF(Salary[[#This Row],[پایه حقوق]]&lt;=5600000,0,(Salary[[#This Row],[پایه حقوق]]-5600000)*0.1)</f>
        <v>409700</v>
      </c>
      <c r="K589" s="16">
        <f t="shared" ca="1" si="58"/>
        <v>8608510</v>
      </c>
    </row>
    <row r="590" spans="1:11">
      <c r="A590" s="1">
        <v>9990117</v>
      </c>
      <c r="B590" s="7">
        <f t="shared" ca="1" si="54"/>
        <v>64</v>
      </c>
      <c r="C590" s="7">
        <f>MATCH(Salary[[#This Row],[ماه]],Calc!$A$16:$A$27,0)</f>
        <v>10</v>
      </c>
      <c r="D590" s="8" t="s">
        <v>95</v>
      </c>
      <c r="E590" s="9">
        <f t="shared" ca="1" si="59"/>
        <v>8661000</v>
      </c>
      <c r="F590" s="9"/>
      <c r="G590" s="9">
        <f t="shared" ca="1" si="55"/>
        <v>8661000</v>
      </c>
      <c r="H590" s="9">
        <f t="shared" ca="1" si="56"/>
        <v>1992030</v>
      </c>
      <c r="I590" s="9">
        <f t="shared" ca="1" si="57"/>
        <v>606270</v>
      </c>
      <c r="J590" s="22">
        <f ca="1">IF(Salary[[#This Row],[پایه حقوق]]&lt;=5600000,0,(Salary[[#This Row],[پایه حقوق]]-5600000)*0.1)</f>
        <v>306100</v>
      </c>
      <c r="K590" s="16">
        <f t="shared" ca="1" si="58"/>
        <v>7748630</v>
      </c>
    </row>
    <row r="591" spans="1:11">
      <c r="A591" s="1">
        <v>9990165</v>
      </c>
      <c r="B591" s="7">
        <f t="shared" ca="1" si="54"/>
        <v>71</v>
      </c>
      <c r="C591" s="7">
        <f>MATCH(Salary[[#This Row],[ماه]],Calc!$A$16:$A$27,0)</f>
        <v>10</v>
      </c>
      <c r="D591" s="8" t="s">
        <v>95</v>
      </c>
      <c r="E591" s="9">
        <f t="shared" ca="1" si="59"/>
        <v>7484000</v>
      </c>
      <c r="F591" s="9"/>
      <c r="G591" s="9">
        <f t="shared" ca="1" si="55"/>
        <v>7484000</v>
      </c>
      <c r="H591" s="9">
        <f t="shared" ca="1" si="56"/>
        <v>1721320</v>
      </c>
      <c r="I591" s="9">
        <f t="shared" ca="1" si="57"/>
        <v>523880.00000000006</v>
      </c>
      <c r="J591" s="22">
        <f ca="1">IF(Salary[[#This Row],[پایه حقوق]]&lt;=5600000,0,(Salary[[#This Row],[پایه حقوق]]-5600000)*0.1)</f>
        <v>188400</v>
      </c>
      <c r="K591" s="16">
        <f t="shared" ca="1" si="58"/>
        <v>6771720</v>
      </c>
    </row>
    <row r="592" spans="1:11">
      <c r="A592" s="1">
        <v>9990213</v>
      </c>
      <c r="B592" s="7">
        <f t="shared" ca="1" si="54"/>
        <v>82</v>
      </c>
      <c r="C592" s="7">
        <f>MATCH(Salary[[#This Row],[ماه]],Calc!$A$16:$A$27,0)</f>
        <v>10</v>
      </c>
      <c r="D592" s="8" t="s">
        <v>95</v>
      </c>
      <c r="E592" s="9">
        <f t="shared" ca="1" si="59"/>
        <v>10625000</v>
      </c>
      <c r="F592" s="9"/>
      <c r="G592" s="9">
        <f t="shared" ca="1" si="55"/>
        <v>10625000</v>
      </c>
      <c r="H592" s="9">
        <f t="shared" ca="1" si="56"/>
        <v>2443750</v>
      </c>
      <c r="I592" s="9">
        <f t="shared" ca="1" si="57"/>
        <v>743750.00000000012</v>
      </c>
      <c r="J592" s="22">
        <f ca="1">IF(Salary[[#This Row],[پایه حقوق]]&lt;=5600000,0,(Salary[[#This Row],[پایه حقوق]]-5600000)*0.1)</f>
        <v>502500</v>
      </c>
      <c r="K592" s="16">
        <f t="shared" ca="1" si="58"/>
        <v>9378750</v>
      </c>
    </row>
    <row r="593" spans="1:11">
      <c r="A593" s="1">
        <v>9990261</v>
      </c>
      <c r="B593" s="7">
        <f t="shared" ca="1" si="54"/>
        <v>100</v>
      </c>
      <c r="C593" s="7">
        <f>MATCH(Salary[[#This Row],[ماه]],Calc!$A$16:$A$27,0)</f>
        <v>10</v>
      </c>
      <c r="D593" s="8" t="s">
        <v>95</v>
      </c>
      <c r="E593" s="9">
        <f t="shared" ca="1" si="59"/>
        <v>6864000</v>
      </c>
      <c r="F593" s="9"/>
      <c r="G593" s="9">
        <f t="shared" ca="1" si="55"/>
        <v>6864000</v>
      </c>
      <c r="H593" s="9">
        <f t="shared" ca="1" si="56"/>
        <v>1578720</v>
      </c>
      <c r="I593" s="9">
        <f t="shared" ca="1" si="57"/>
        <v>480480.00000000006</v>
      </c>
      <c r="J593" s="22">
        <f ca="1">IF(Salary[[#This Row],[پایه حقوق]]&lt;=5600000,0,(Salary[[#This Row],[پایه حقوق]]-5600000)*0.1)</f>
        <v>126400</v>
      </c>
      <c r="K593" s="16">
        <f t="shared" ca="1" si="58"/>
        <v>6257120</v>
      </c>
    </row>
    <row r="594" spans="1:11">
      <c r="A594" s="1">
        <v>9990309</v>
      </c>
      <c r="B594" s="7">
        <f t="shared" ca="1" si="54"/>
        <v>69</v>
      </c>
      <c r="C594" s="7">
        <f>MATCH(Salary[[#This Row],[ماه]],Calc!$A$16:$A$27,0)</f>
        <v>10</v>
      </c>
      <c r="D594" s="8" t="s">
        <v>95</v>
      </c>
      <c r="E594" s="9">
        <f t="shared" ca="1" si="59"/>
        <v>10794000</v>
      </c>
      <c r="F594" s="9"/>
      <c r="G594" s="9">
        <f t="shared" ca="1" si="55"/>
        <v>10794000</v>
      </c>
      <c r="H594" s="9">
        <f t="shared" ca="1" si="56"/>
        <v>2482620</v>
      </c>
      <c r="I594" s="9">
        <f t="shared" ca="1" si="57"/>
        <v>755580.00000000012</v>
      </c>
      <c r="J594" s="22">
        <f ca="1">IF(Salary[[#This Row],[پایه حقوق]]&lt;=5600000,0,(Salary[[#This Row],[پایه حقوق]]-5600000)*0.1)</f>
        <v>519400</v>
      </c>
      <c r="K594" s="16">
        <f t="shared" ca="1" si="58"/>
        <v>9519020</v>
      </c>
    </row>
    <row r="595" spans="1:11">
      <c r="A595" s="1">
        <v>9990357</v>
      </c>
      <c r="B595" s="7">
        <f t="shared" ca="1" si="54"/>
        <v>38</v>
      </c>
      <c r="C595" s="7">
        <f>MATCH(Salary[[#This Row],[ماه]],Calc!$A$16:$A$27,0)</f>
        <v>10</v>
      </c>
      <c r="D595" s="8" t="s">
        <v>95</v>
      </c>
      <c r="E595" s="9">
        <f t="shared" ca="1" si="59"/>
        <v>9952000</v>
      </c>
      <c r="F595" s="9"/>
      <c r="G595" s="9">
        <f t="shared" ca="1" si="55"/>
        <v>9952000</v>
      </c>
      <c r="H595" s="9">
        <f t="shared" ca="1" si="56"/>
        <v>2288960</v>
      </c>
      <c r="I595" s="9">
        <f t="shared" ca="1" si="57"/>
        <v>696640.00000000012</v>
      </c>
      <c r="J595" s="22">
        <f ca="1">IF(Salary[[#This Row],[پایه حقوق]]&lt;=5600000,0,(Salary[[#This Row],[پایه حقوق]]-5600000)*0.1)</f>
        <v>435200</v>
      </c>
      <c r="K595" s="16">
        <f t="shared" ca="1" si="58"/>
        <v>8820160</v>
      </c>
    </row>
    <row r="596" spans="1:11">
      <c r="A596" s="1">
        <v>9990405</v>
      </c>
      <c r="B596" s="7">
        <f t="shared" ca="1" si="54"/>
        <v>71</v>
      </c>
      <c r="C596" s="7">
        <f>MATCH(Salary[[#This Row],[ماه]],Calc!$A$16:$A$27,0)</f>
        <v>10</v>
      </c>
      <c r="D596" s="8" t="s">
        <v>95</v>
      </c>
      <c r="E596" s="9">
        <f t="shared" ca="1" si="59"/>
        <v>11909000</v>
      </c>
      <c r="F596" s="9"/>
      <c r="G596" s="9">
        <f t="shared" ca="1" si="55"/>
        <v>11909000</v>
      </c>
      <c r="H596" s="9">
        <f t="shared" ca="1" si="56"/>
        <v>2739070</v>
      </c>
      <c r="I596" s="9">
        <f t="shared" ca="1" si="57"/>
        <v>833630.00000000012</v>
      </c>
      <c r="J596" s="22">
        <f ca="1">IF(Salary[[#This Row],[پایه حقوق]]&lt;=5600000,0,(Salary[[#This Row],[پایه حقوق]]-5600000)*0.1)</f>
        <v>630900</v>
      </c>
      <c r="K596" s="16">
        <f t="shared" ca="1" si="58"/>
        <v>10444470</v>
      </c>
    </row>
    <row r="597" spans="1:11">
      <c r="A597" s="1">
        <v>9990453</v>
      </c>
      <c r="B597" s="7">
        <f t="shared" ca="1" si="54"/>
        <v>37</v>
      </c>
      <c r="C597" s="7">
        <f>MATCH(Salary[[#This Row],[ماه]],Calc!$A$16:$A$27,0)</f>
        <v>10</v>
      </c>
      <c r="D597" s="8" t="s">
        <v>95</v>
      </c>
      <c r="E597" s="9">
        <f t="shared" ca="1" si="59"/>
        <v>5634000</v>
      </c>
      <c r="F597" s="9"/>
      <c r="G597" s="9">
        <f t="shared" ca="1" si="55"/>
        <v>5634000</v>
      </c>
      <c r="H597" s="9">
        <f t="shared" ca="1" si="56"/>
        <v>1295820</v>
      </c>
      <c r="I597" s="9">
        <f t="shared" ca="1" si="57"/>
        <v>394380.00000000006</v>
      </c>
      <c r="J597" s="22">
        <f ca="1">IF(Salary[[#This Row],[پایه حقوق]]&lt;=5600000,0,(Salary[[#This Row],[پایه حقوق]]-5600000)*0.1)</f>
        <v>3400</v>
      </c>
      <c r="K597" s="16">
        <f t="shared" ca="1" si="58"/>
        <v>5236220</v>
      </c>
    </row>
    <row r="598" spans="1:11">
      <c r="A598" s="1">
        <v>9990501</v>
      </c>
      <c r="B598" s="7">
        <f t="shared" ca="1" si="54"/>
        <v>99</v>
      </c>
      <c r="C598" s="7">
        <f>MATCH(Salary[[#This Row],[ماه]],Calc!$A$16:$A$27,0)</f>
        <v>10</v>
      </c>
      <c r="D598" s="8" t="s">
        <v>95</v>
      </c>
      <c r="E598" s="9">
        <f t="shared" ca="1" si="59"/>
        <v>6845000</v>
      </c>
      <c r="F598" s="9"/>
      <c r="G598" s="9">
        <f t="shared" ca="1" si="55"/>
        <v>6845000</v>
      </c>
      <c r="H598" s="9">
        <f t="shared" ca="1" si="56"/>
        <v>1574350</v>
      </c>
      <c r="I598" s="9">
        <f t="shared" ca="1" si="57"/>
        <v>479150.00000000006</v>
      </c>
      <c r="J598" s="22">
        <f ca="1">IF(Salary[[#This Row],[پایه حقوق]]&lt;=5600000,0,(Salary[[#This Row],[پایه حقوق]]-5600000)*0.1)</f>
        <v>124500</v>
      </c>
      <c r="K598" s="16">
        <f t="shared" ca="1" si="58"/>
        <v>6241350</v>
      </c>
    </row>
    <row r="599" spans="1:11">
      <c r="A599" s="1">
        <v>9990549</v>
      </c>
      <c r="B599" s="7">
        <f t="shared" ca="1" si="54"/>
        <v>49</v>
      </c>
      <c r="C599" s="7">
        <f>MATCH(Salary[[#This Row],[ماه]],Calc!$A$16:$A$27,0)</f>
        <v>10</v>
      </c>
      <c r="D599" s="8" t="s">
        <v>95</v>
      </c>
      <c r="E599" s="9">
        <f t="shared" ca="1" si="59"/>
        <v>12842000</v>
      </c>
      <c r="F599" s="9"/>
      <c r="G599" s="9">
        <f t="shared" ca="1" si="55"/>
        <v>12842000</v>
      </c>
      <c r="H599" s="9">
        <f t="shared" ca="1" si="56"/>
        <v>2953660</v>
      </c>
      <c r="I599" s="9">
        <f t="shared" ca="1" si="57"/>
        <v>898940.00000000012</v>
      </c>
      <c r="J599" s="22">
        <f ca="1">IF(Salary[[#This Row],[پایه حقوق]]&lt;=5600000,0,(Salary[[#This Row],[پایه حقوق]]-5600000)*0.1)</f>
        <v>724200</v>
      </c>
      <c r="K599" s="16">
        <f t="shared" ca="1" si="58"/>
        <v>11218860</v>
      </c>
    </row>
    <row r="600" spans="1:11">
      <c r="A600" s="1">
        <v>9990597</v>
      </c>
      <c r="B600" s="7">
        <f t="shared" ca="1" si="54"/>
        <v>52</v>
      </c>
      <c r="C600" s="7">
        <f>MATCH(Salary[[#This Row],[ماه]],Calc!$A$16:$A$27,0)</f>
        <v>10</v>
      </c>
      <c r="D600" s="8" t="s">
        <v>95</v>
      </c>
      <c r="E600" s="9">
        <f t="shared" ca="1" si="59"/>
        <v>4071000</v>
      </c>
      <c r="F600" s="9"/>
      <c r="G600" s="9">
        <f t="shared" ca="1" si="55"/>
        <v>4071000</v>
      </c>
      <c r="H600" s="9">
        <f t="shared" ca="1" si="56"/>
        <v>936330</v>
      </c>
      <c r="I600" s="9">
        <f t="shared" ca="1" si="57"/>
        <v>284970</v>
      </c>
      <c r="J600" s="22">
        <f ca="1">IF(Salary[[#This Row],[پایه حقوق]]&lt;=5600000,0,(Salary[[#This Row],[پایه حقوق]]-5600000)*0.1)</f>
        <v>0</v>
      </c>
      <c r="K600" s="16">
        <f t="shared" ca="1" si="58"/>
        <v>3786030</v>
      </c>
    </row>
    <row r="601" spans="1:11">
      <c r="A601" s="1">
        <v>9990645</v>
      </c>
      <c r="B601" s="7">
        <f t="shared" ca="1" si="54"/>
        <v>96</v>
      </c>
      <c r="C601" s="7">
        <f>MATCH(Salary[[#This Row],[ماه]],Calc!$A$16:$A$27,0)</f>
        <v>10</v>
      </c>
      <c r="D601" s="8" t="s">
        <v>95</v>
      </c>
      <c r="E601" s="9">
        <f t="shared" ca="1" si="59"/>
        <v>13193000</v>
      </c>
      <c r="F601" s="9"/>
      <c r="G601" s="9">
        <f t="shared" ca="1" si="55"/>
        <v>13193000</v>
      </c>
      <c r="H601" s="9">
        <f t="shared" ca="1" si="56"/>
        <v>3034390</v>
      </c>
      <c r="I601" s="9">
        <f t="shared" ca="1" si="57"/>
        <v>923510.00000000012</v>
      </c>
      <c r="J601" s="22">
        <f ca="1">IF(Salary[[#This Row],[پایه حقوق]]&lt;=5600000,0,(Salary[[#This Row],[پایه حقوق]]-5600000)*0.1)</f>
        <v>759300</v>
      </c>
      <c r="K601" s="16">
        <f t="shared" ca="1" si="58"/>
        <v>11510190</v>
      </c>
    </row>
    <row r="602" spans="1:11">
      <c r="A602" s="1">
        <v>9987656</v>
      </c>
      <c r="B602" s="7">
        <f t="shared" ca="1" si="54"/>
        <v>84</v>
      </c>
      <c r="C602" s="7">
        <f>MATCH(Salary[[#This Row],[ماه]],Calc!$A$16:$A$27,0)</f>
        <v>11</v>
      </c>
      <c r="D602" s="8" t="s">
        <v>96</v>
      </c>
      <c r="E602" s="9">
        <f t="shared" ca="1" si="59"/>
        <v>11346000</v>
      </c>
      <c r="F602" s="9">
        <f ca="1">0.7*E602</f>
        <v>7942199.9999999991</v>
      </c>
      <c r="G602" s="9">
        <f t="shared" ca="1" si="55"/>
        <v>19288200</v>
      </c>
      <c r="H602" s="9">
        <f t="shared" ca="1" si="56"/>
        <v>2609580</v>
      </c>
      <c r="I602" s="9">
        <f t="shared" ca="1" si="57"/>
        <v>794220.00000000012</v>
      </c>
      <c r="J602" s="22">
        <f ca="1">IF(Salary[[#This Row],[پایه حقوق]]&lt;=5600000,0,(Salary[[#This Row],[پایه حقوق]]-5600000)*0.1)</f>
        <v>574600</v>
      </c>
      <c r="K602" s="16">
        <f t="shared" ca="1" si="58"/>
        <v>17919380</v>
      </c>
    </row>
    <row r="603" spans="1:11">
      <c r="A603" s="1">
        <v>9987728</v>
      </c>
      <c r="B603" s="7">
        <f t="shared" ca="1" si="54"/>
        <v>59</v>
      </c>
      <c r="C603" s="7">
        <f>MATCH(Salary[[#This Row],[ماه]],Calc!$A$16:$A$27,0)</f>
        <v>11</v>
      </c>
      <c r="D603" s="8" t="s">
        <v>96</v>
      </c>
      <c r="E603" s="9">
        <f t="shared" ca="1" si="59"/>
        <v>14294000</v>
      </c>
      <c r="F603" s="9"/>
      <c r="G603" s="9">
        <f t="shared" ca="1" si="55"/>
        <v>14294000</v>
      </c>
      <c r="H603" s="9">
        <f t="shared" ca="1" si="56"/>
        <v>3287620</v>
      </c>
      <c r="I603" s="9">
        <f t="shared" ca="1" si="57"/>
        <v>1000580.0000000001</v>
      </c>
      <c r="J603" s="22">
        <f ca="1">IF(Salary[[#This Row],[پایه حقوق]]&lt;=5600000,0,(Salary[[#This Row],[پایه حقوق]]-5600000)*0.1)</f>
        <v>869400</v>
      </c>
      <c r="K603" s="16">
        <f t="shared" ca="1" si="58"/>
        <v>12424020</v>
      </c>
    </row>
    <row r="604" spans="1:11">
      <c r="A604" s="1">
        <v>9987826</v>
      </c>
      <c r="B604" s="7">
        <f t="shared" ca="1" si="54"/>
        <v>35</v>
      </c>
      <c r="C604" s="7">
        <f>MATCH(Salary[[#This Row],[ماه]],Calc!$A$16:$A$27,0)</f>
        <v>11</v>
      </c>
      <c r="D604" s="8" t="s">
        <v>96</v>
      </c>
      <c r="E604" s="9">
        <f t="shared" ca="1" si="59"/>
        <v>7912000</v>
      </c>
      <c r="F604" s="9">
        <f ca="1">0.7*E604</f>
        <v>5538400</v>
      </c>
      <c r="G604" s="9">
        <f t="shared" ca="1" si="55"/>
        <v>13450400</v>
      </c>
      <c r="H604" s="9">
        <f t="shared" ca="1" si="56"/>
        <v>1819760</v>
      </c>
      <c r="I604" s="9">
        <f t="shared" ca="1" si="57"/>
        <v>553840</v>
      </c>
      <c r="J604" s="22">
        <f ca="1">IF(Salary[[#This Row],[پایه حقوق]]&lt;=5600000,0,(Salary[[#This Row],[پایه حقوق]]-5600000)*0.1)</f>
        <v>231200</v>
      </c>
      <c r="K604" s="16">
        <f t="shared" ca="1" si="58"/>
        <v>12665360</v>
      </c>
    </row>
    <row r="605" spans="1:11">
      <c r="A605" s="1">
        <v>9987915</v>
      </c>
      <c r="B605" s="7">
        <f t="shared" ca="1" si="54"/>
        <v>99</v>
      </c>
      <c r="C605" s="7">
        <f>MATCH(Salary[[#This Row],[ماه]],Calc!$A$16:$A$27,0)</f>
        <v>11</v>
      </c>
      <c r="D605" s="8" t="s">
        <v>96</v>
      </c>
      <c r="E605" s="9">
        <f t="shared" ca="1" si="59"/>
        <v>6841000</v>
      </c>
      <c r="F605" s="9">
        <f ca="1">0.7*E605</f>
        <v>4788700</v>
      </c>
      <c r="G605" s="9">
        <f t="shared" ca="1" si="55"/>
        <v>11629700</v>
      </c>
      <c r="H605" s="9">
        <f t="shared" ca="1" si="56"/>
        <v>1573430</v>
      </c>
      <c r="I605" s="9">
        <f t="shared" ca="1" si="57"/>
        <v>478870.00000000006</v>
      </c>
      <c r="J605" s="22">
        <f ca="1">IF(Salary[[#This Row],[پایه حقوق]]&lt;=5600000,0,(Salary[[#This Row],[پایه حقوق]]-5600000)*0.1)</f>
        <v>124100</v>
      </c>
      <c r="K605" s="16">
        <f t="shared" ca="1" si="58"/>
        <v>11026730</v>
      </c>
    </row>
    <row r="606" spans="1:11">
      <c r="A606" s="1">
        <v>9987938</v>
      </c>
      <c r="B606" s="7">
        <f t="shared" ca="1" si="54"/>
        <v>46</v>
      </c>
      <c r="C606" s="7">
        <f>MATCH(Salary[[#This Row],[ماه]],Calc!$A$16:$A$27,0)</f>
        <v>11</v>
      </c>
      <c r="D606" s="8" t="s">
        <v>96</v>
      </c>
      <c r="E606" s="9">
        <f t="shared" ca="1" si="59"/>
        <v>7492000</v>
      </c>
      <c r="F606" s="9"/>
      <c r="G606" s="9">
        <f t="shared" ca="1" si="55"/>
        <v>7492000</v>
      </c>
      <c r="H606" s="9">
        <f t="shared" ca="1" si="56"/>
        <v>1723160</v>
      </c>
      <c r="I606" s="9">
        <f t="shared" ca="1" si="57"/>
        <v>524440</v>
      </c>
      <c r="J606" s="22">
        <f ca="1">IF(Salary[[#This Row],[پایه حقوق]]&lt;=5600000,0,(Salary[[#This Row],[پایه حقوق]]-5600000)*0.1)</f>
        <v>189200</v>
      </c>
      <c r="K606" s="16">
        <f t="shared" ca="1" si="58"/>
        <v>6778360</v>
      </c>
    </row>
    <row r="607" spans="1:11">
      <c r="A607" s="1">
        <v>9988023</v>
      </c>
      <c r="B607" s="7">
        <f t="shared" ca="1" si="54"/>
        <v>84</v>
      </c>
      <c r="C607" s="7">
        <f>MATCH(Salary[[#This Row],[ماه]],Calc!$A$16:$A$27,0)</f>
        <v>11</v>
      </c>
      <c r="D607" s="8" t="s">
        <v>96</v>
      </c>
      <c r="E607" s="9">
        <f t="shared" ca="1" si="59"/>
        <v>13475000</v>
      </c>
      <c r="F607" s="9"/>
      <c r="G607" s="9">
        <f t="shared" ca="1" si="55"/>
        <v>13475000</v>
      </c>
      <c r="H607" s="9">
        <f t="shared" ca="1" si="56"/>
        <v>3099250</v>
      </c>
      <c r="I607" s="9">
        <f t="shared" ca="1" si="57"/>
        <v>943250.00000000012</v>
      </c>
      <c r="J607" s="22">
        <f ca="1">IF(Salary[[#This Row],[پایه حقوق]]&lt;=5600000,0,(Salary[[#This Row],[پایه حقوق]]-5600000)*0.1)</f>
        <v>787500</v>
      </c>
      <c r="K607" s="16">
        <f t="shared" ca="1" si="58"/>
        <v>11744250</v>
      </c>
    </row>
    <row r="608" spans="1:11">
      <c r="A608" s="1">
        <v>9988106</v>
      </c>
      <c r="B608" s="7">
        <f t="shared" ca="1" si="54"/>
        <v>85</v>
      </c>
      <c r="C608" s="7">
        <f>MATCH(Salary[[#This Row],[ماه]],Calc!$A$16:$A$27,0)</f>
        <v>11</v>
      </c>
      <c r="D608" s="8" t="s">
        <v>96</v>
      </c>
      <c r="E608" s="9">
        <f t="shared" ca="1" si="59"/>
        <v>3516000</v>
      </c>
      <c r="F608" s="9"/>
      <c r="G608" s="9">
        <f t="shared" ca="1" si="55"/>
        <v>3516000</v>
      </c>
      <c r="H608" s="9">
        <f t="shared" ca="1" si="56"/>
        <v>808680</v>
      </c>
      <c r="I608" s="9">
        <f t="shared" ca="1" si="57"/>
        <v>246120.00000000003</v>
      </c>
      <c r="J608" s="22">
        <f ca="1">IF(Salary[[#This Row],[پایه حقوق]]&lt;=5600000,0,(Salary[[#This Row],[پایه حقوق]]-5600000)*0.1)</f>
        <v>0</v>
      </c>
      <c r="K608" s="16">
        <f t="shared" ca="1" si="58"/>
        <v>3269880</v>
      </c>
    </row>
    <row r="609" spans="1:11">
      <c r="A609" s="1">
        <v>9988137</v>
      </c>
      <c r="B609" s="7">
        <f t="shared" ca="1" si="54"/>
        <v>93</v>
      </c>
      <c r="C609" s="7">
        <f>MATCH(Salary[[#This Row],[ماه]],Calc!$A$16:$A$27,0)</f>
        <v>11</v>
      </c>
      <c r="D609" s="8" t="s">
        <v>96</v>
      </c>
      <c r="E609" s="9">
        <f t="shared" ca="1" si="59"/>
        <v>8335000</v>
      </c>
      <c r="F609" s="9"/>
      <c r="G609" s="9">
        <f t="shared" ca="1" si="55"/>
        <v>8335000</v>
      </c>
      <c r="H609" s="9">
        <f t="shared" ca="1" si="56"/>
        <v>1917050</v>
      </c>
      <c r="I609" s="9">
        <f t="shared" ca="1" si="57"/>
        <v>583450</v>
      </c>
      <c r="J609" s="22">
        <f ca="1">IF(Salary[[#This Row],[پایه حقوق]]&lt;=5600000,0,(Salary[[#This Row],[پایه حقوق]]-5600000)*0.1)</f>
        <v>273500</v>
      </c>
      <c r="K609" s="16">
        <f t="shared" ca="1" si="58"/>
        <v>7478050</v>
      </c>
    </row>
    <row r="610" spans="1:11">
      <c r="A610" s="1">
        <v>9988165</v>
      </c>
      <c r="B610" s="7">
        <f t="shared" ca="1" si="54"/>
        <v>81</v>
      </c>
      <c r="C610" s="7">
        <f>MATCH(Salary[[#This Row],[ماه]],Calc!$A$16:$A$27,0)</f>
        <v>11</v>
      </c>
      <c r="D610" s="8" t="s">
        <v>96</v>
      </c>
      <c r="E610" s="9">
        <f t="shared" ca="1" si="59"/>
        <v>10189000</v>
      </c>
      <c r="F610" s="9"/>
      <c r="G610" s="9">
        <f t="shared" ca="1" si="55"/>
        <v>10189000</v>
      </c>
      <c r="H610" s="9">
        <f t="shared" ca="1" si="56"/>
        <v>2343470</v>
      </c>
      <c r="I610" s="9">
        <f t="shared" ca="1" si="57"/>
        <v>713230.00000000012</v>
      </c>
      <c r="J610" s="22">
        <f ca="1">IF(Salary[[#This Row],[پایه حقوق]]&lt;=5600000,0,(Salary[[#This Row],[پایه حقوق]]-5600000)*0.1)</f>
        <v>458900</v>
      </c>
      <c r="K610" s="16">
        <f t="shared" ca="1" si="58"/>
        <v>9016870</v>
      </c>
    </row>
    <row r="611" spans="1:11">
      <c r="A611" s="1">
        <v>9988236</v>
      </c>
      <c r="B611" s="7">
        <f t="shared" ca="1" si="54"/>
        <v>40</v>
      </c>
      <c r="C611" s="7">
        <f>MATCH(Salary[[#This Row],[ماه]],Calc!$A$16:$A$27,0)</f>
        <v>11</v>
      </c>
      <c r="D611" s="8" t="s">
        <v>96</v>
      </c>
      <c r="E611" s="9">
        <f t="shared" ca="1" si="59"/>
        <v>6130000</v>
      </c>
      <c r="F611" s="9"/>
      <c r="G611" s="9">
        <f t="shared" ca="1" si="55"/>
        <v>6130000</v>
      </c>
      <c r="H611" s="9">
        <f t="shared" ca="1" si="56"/>
        <v>1409900</v>
      </c>
      <c r="I611" s="9">
        <f t="shared" ca="1" si="57"/>
        <v>429100.00000000006</v>
      </c>
      <c r="J611" s="22">
        <f ca="1">IF(Salary[[#This Row],[پایه حقوق]]&lt;=5600000,0,(Salary[[#This Row],[پایه حقوق]]-5600000)*0.1)</f>
        <v>53000</v>
      </c>
      <c r="K611" s="16">
        <f t="shared" ca="1" si="58"/>
        <v>5647900</v>
      </c>
    </row>
    <row r="612" spans="1:11">
      <c r="A612" s="1">
        <v>9988277</v>
      </c>
      <c r="B612" s="7">
        <f t="shared" ca="1" si="54"/>
        <v>78</v>
      </c>
      <c r="C612" s="7">
        <f>MATCH(Salary[[#This Row],[ماه]],Calc!$A$16:$A$27,0)</f>
        <v>11</v>
      </c>
      <c r="D612" s="8" t="s">
        <v>96</v>
      </c>
      <c r="E612" s="9">
        <f t="shared" ca="1" si="59"/>
        <v>6137000</v>
      </c>
      <c r="F612" s="9"/>
      <c r="G612" s="9">
        <f t="shared" ca="1" si="55"/>
        <v>6137000</v>
      </c>
      <c r="H612" s="9">
        <f t="shared" ca="1" si="56"/>
        <v>1411510</v>
      </c>
      <c r="I612" s="9">
        <f t="shared" ca="1" si="57"/>
        <v>429590.00000000006</v>
      </c>
      <c r="J612" s="22">
        <f ca="1">IF(Salary[[#This Row],[پایه حقوق]]&lt;=5600000,0,(Salary[[#This Row],[پایه حقوق]]-5600000)*0.1)</f>
        <v>53700</v>
      </c>
      <c r="K612" s="16">
        <f t="shared" ca="1" si="58"/>
        <v>5653710</v>
      </c>
    </row>
    <row r="613" spans="1:11">
      <c r="A613" s="1">
        <v>9988371</v>
      </c>
      <c r="B613" s="7">
        <f t="shared" ca="1" si="54"/>
        <v>88</v>
      </c>
      <c r="C613" s="7">
        <f>MATCH(Salary[[#This Row],[ماه]],Calc!$A$16:$A$27,0)</f>
        <v>11</v>
      </c>
      <c r="D613" s="8" t="s">
        <v>96</v>
      </c>
      <c r="E613" s="9">
        <f t="shared" ca="1" si="59"/>
        <v>6061000</v>
      </c>
      <c r="F613" s="9"/>
      <c r="G613" s="9">
        <f t="shared" ca="1" si="55"/>
        <v>6061000</v>
      </c>
      <c r="H613" s="9">
        <f t="shared" ca="1" si="56"/>
        <v>1394030</v>
      </c>
      <c r="I613" s="9">
        <f t="shared" ca="1" si="57"/>
        <v>424270.00000000006</v>
      </c>
      <c r="J613" s="22">
        <f ca="1">IF(Salary[[#This Row],[پایه حقوق]]&lt;=5600000,0,(Salary[[#This Row],[پایه حقوق]]-5600000)*0.1)</f>
        <v>46100</v>
      </c>
      <c r="K613" s="16">
        <f t="shared" ca="1" si="58"/>
        <v>5590630</v>
      </c>
    </row>
    <row r="614" spans="1:11">
      <c r="A614" s="1">
        <v>9988393</v>
      </c>
      <c r="B614" s="7">
        <f t="shared" ca="1" si="54"/>
        <v>64</v>
      </c>
      <c r="C614" s="7">
        <f>MATCH(Salary[[#This Row],[ماه]],Calc!$A$16:$A$27,0)</f>
        <v>11</v>
      </c>
      <c r="D614" s="8" t="s">
        <v>96</v>
      </c>
      <c r="E614" s="9">
        <f t="shared" ca="1" si="59"/>
        <v>14672000</v>
      </c>
      <c r="F614" s="9"/>
      <c r="G614" s="9">
        <f t="shared" ca="1" si="55"/>
        <v>14672000</v>
      </c>
      <c r="H614" s="9">
        <f t="shared" ca="1" si="56"/>
        <v>3374560</v>
      </c>
      <c r="I614" s="9">
        <f t="shared" ca="1" si="57"/>
        <v>1027040.0000000001</v>
      </c>
      <c r="J614" s="22">
        <f ca="1">IF(Salary[[#This Row],[پایه حقوق]]&lt;=5600000,0,(Salary[[#This Row],[پایه حقوق]]-5600000)*0.1)</f>
        <v>907200</v>
      </c>
      <c r="K614" s="16">
        <f t="shared" ca="1" si="58"/>
        <v>12737760</v>
      </c>
    </row>
    <row r="615" spans="1:11">
      <c r="A615" s="1">
        <v>9988453</v>
      </c>
      <c r="B615" s="7">
        <f t="shared" ca="1" si="54"/>
        <v>36</v>
      </c>
      <c r="C615" s="7">
        <f>MATCH(Salary[[#This Row],[ماه]],Calc!$A$16:$A$27,0)</f>
        <v>11</v>
      </c>
      <c r="D615" s="8" t="s">
        <v>96</v>
      </c>
      <c r="E615" s="9">
        <f t="shared" ca="1" si="59"/>
        <v>7813000</v>
      </c>
      <c r="F615" s="9">
        <f ca="1">0.7*E615</f>
        <v>5469100</v>
      </c>
      <c r="G615" s="9">
        <f t="shared" ca="1" si="55"/>
        <v>13282100</v>
      </c>
      <c r="H615" s="9">
        <f t="shared" ca="1" si="56"/>
        <v>1796990</v>
      </c>
      <c r="I615" s="9">
        <f t="shared" ca="1" si="57"/>
        <v>546910</v>
      </c>
      <c r="J615" s="22">
        <f ca="1">IF(Salary[[#This Row],[پایه حقوق]]&lt;=5600000,0,(Salary[[#This Row],[پایه حقوق]]-5600000)*0.1)</f>
        <v>221300</v>
      </c>
      <c r="K615" s="16">
        <f t="shared" ca="1" si="58"/>
        <v>12513890</v>
      </c>
    </row>
    <row r="616" spans="1:11">
      <c r="A616" s="1">
        <v>9988492</v>
      </c>
      <c r="B616" s="7">
        <f t="shared" ca="1" si="54"/>
        <v>54</v>
      </c>
      <c r="C616" s="7">
        <f>MATCH(Salary[[#This Row],[ماه]],Calc!$A$16:$A$27,0)</f>
        <v>11</v>
      </c>
      <c r="D616" s="8" t="s">
        <v>96</v>
      </c>
      <c r="E616" s="9">
        <f t="shared" ca="1" si="59"/>
        <v>3037000</v>
      </c>
      <c r="F616" s="9"/>
      <c r="G616" s="9">
        <f t="shared" ca="1" si="55"/>
        <v>3037000</v>
      </c>
      <c r="H616" s="9">
        <f t="shared" ca="1" si="56"/>
        <v>698510</v>
      </c>
      <c r="I616" s="9">
        <f t="shared" ca="1" si="57"/>
        <v>212590.00000000003</v>
      </c>
      <c r="J616" s="22">
        <f ca="1">IF(Salary[[#This Row],[پایه حقوق]]&lt;=5600000,0,(Salary[[#This Row],[پایه حقوق]]-5600000)*0.1)</f>
        <v>0</v>
      </c>
      <c r="K616" s="16">
        <f t="shared" ca="1" si="58"/>
        <v>2824410</v>
      </c>
    </row>
    <row r="617" spans="1:11">
      <c r="A617" s="1">
        <v>9988572</v>
      </c>
      <c r="B617" s="7">
        <f t="shared" ca="1" si="54"/>
        <v>37</v>
      </c>
      <c r="C617" s="7">
        <f>MATCH(Salary[[#This Row],[ماه]],Calc!$A$16:$A$27,0)</f>
        <v>11</v>
      </c>
      <c r="D617" s="8" t="s">
        <v>96</v>
      </c>
      <c r="E617" s="9">
        <f t="shared" ca="1" si="59"/>
        <v>6797000</v>
      </c>
      <c r="F617" s="9"/>
      <c r="G617" s="9">
        <f t="shared" ca="1" si="55"/>
        <v>6797000</v>
      </c>
      <c r="H617" s="9">
        <f t="shared" ca="1" si="56"/>
        <v>1563310</v>
      </c>
      <c r="I617" s="9">
        <f t="shared" ca="1" si="57"/>
        <v>475790.00000000006</v>
      </c>
      <c r="J617" s="22">
        <f ca="1">IF(Salary[[#This Row],[پایه حقوق]]&lt;=5600000,0,(Salary[[#This Row],[پایه حقوق]]-5600000)*0.1)</f>
        <v>119700</v>
      </c>
      <c r="K617" s="16">
        <f t="shared" ca="1" si="58"/>
        <v>6201510</v>
      </c>
    </row>
    <row r="618" spans="1:11">
      <c r="A618" s="1">
        <v>9988618</v>
      </c>
      <c r="B618" s="7">
        <f t="shared" ca="1" si="54"/>
        <v>92</v>
      </c>
      <c r="C618" s="7">
        <f>MATCH(Salary[[#This Row],[ماه]],Calc!$A$16:$A$27,0)</f>
        <v>11</v>
      </c>
      <c r="D618" s="8" t="s">
        <v>96</v>
      </c>
      <c r="E618" s="9">
        <f t="shared" ca="1" si="59"/>
        <v>6199000</v>
      </c>
      <c r="F618" s="9"/>
      <c r="G618" s="9">
        <f t="shared" ca="1" si="55"/>
        <v>6199000</v>
      </c>
      <c r="H618" s="9">
        <f t="shared" ca="1" si="56"/>
        <v>1425770</v>
      </c>
      <c r="I618" s="9">
        <f t="shared" ca="1" si="57"/>
        <v>433930.00000000006</v>
      </c>
      <c r="J618" s="22">
        <f ca="1">IF(Salary[[#This Row],[پایه حقوق]]&lt;=5600000,0,(Salary[[#This Row],[پایه حقوق]]-5600000)*0.1)</f>
        <v>59900</v>
      </c>
      <c r="K618" s="16">
        <f t="shared" ca="1" si="58"/>
        <v>5705170</v>
      </c>
    </row>
    <row r="619" spans="1:11">
      <c r="A619" s="1">
        <v>9988657</v>
      </c>
      <c r="B619" s="7">
        <f t="shared" ca="1" si="54"/>
        <v>34</v>
      </c>
      <c r="C619" s="7">
        <f>MATCH(Salary[[#This Row],[ماه]],Calc!$A$16:$A$27,0)</f>
        <v>11</v>
      </c>
      <c r="D619" s="8" t="s">
        <v>96</v>
      </c>
      <c r="E619" s="9">
        <f t="shared" ca="1" si="59"/>
        <v>8043000</v>
      </c>
      <c r="F619" s="9"/>
      <c r="G619" s="9">
        <f t="shared" ca="1" si="55"/>
        <v>8043000</v>
      </c>
      <c r="H619" s="9">
        <f t="shared" ca="1" si="56"/>
        <v>1849890</v>
      </c>
      <c r="I619" s="9">
        <f t="shared" ca="1" si="57"/>
        <v>563010</v>
      </c>
      <c r="J619" s="22">
        <f ca="1">IF(Salary[[#This Row],[پایه حقوق]]&lt;=5600000,0,(Salary[[#This Row],[پایه حقوق]]-5600000)*0.1)</f>
        <v>244300</v>
      </c>
      <c r="K619" s="16">
        <f t="shared" ca="1" si="58"/>
        <v>7235690</v>
      </c>
    </row>
    <row r="620" spans="1:11">
      <c r="A620" s="1">
        <v>9988677</v>
      </c>
      <c r="B620" s="7">
        <f t="shared" ca="1" si="54"/>
        <v>93</v>
      </c>
      <c r="C620" s="7">
        <f>MATCH(Salary[[#This Row],[ماه]],Calc!$A$16:$A$27,0)</f>
        <v>11</v>
      </c>
      <c r="D620" s="8" t="s">
        <v>96</v>
      </c>
      <c r="E620" s="9">
        <f t="shared" ca="1" si="59"/>
        <v>8343000</v>
      </c>
      <c r="F620" s="9"/>
      <c r="G620" s="9">
        <f t="shared" ca="1" si="55"/>
        <v>8343000</v>
      </c>
      <c r="H620" s="9">
        <f t="shared" ca="1" si="56"/>
        <v>1918890</v>
      </c>
      <c r="I620" s="9">
        <f t="shared" ca="1" si="57"/>
        <v>584010</v>
      </c>
      <c r="J620" s="22">
        <f ca="1">IF(Salary[[#This Row],[پایه حقوق]]&lt;=5600000,0,(Salary[[#This Row],[پایه حقوق]]-5600000)*0.1)</f>
        <v>274300</v>
      </c>
      <c r="K620" s="16">
        <f t="shared" ca="1" si="58"/>
        <v>7484690</v>
      </c>
    </row>
    <row r="621" spans="1:11">
      <c r="A621" s="1">
        <v>9988725</v>
      </c>
      <c r="B621" s="7">
        <f t="shared" ca="1" si="54"/>
        <v>88</v>
      </c>
      <c r="C621" s="7">
        <f>MATCH(Salary[[#This Row],[ماه]],Calc!$A$16:$A$27,0)</f>
        <v>11</v>
      </c>
      <c r="D621" s="8" t="s">
        <v>96</v>
      </c>
      <c r="E621" s="9">
        <f t="shared" ca="1" si="59"/>
        <v>10714000</v>
      </c>
      <c r="F621" s="9"/>
      <c r="G621" s="9">
        <f t="shared" ca="1" si="55"/>
        <v>10714000</v>
      </c>
      <c r="H621" s="9">
        <f t="shared" ca="1" si="56"/>
        <v>2464220</v>
      </c>
      <c r="I621" s="9">
        <f t="shared" ca="1" si="57"/>
        <v>749980.00000000012</v>
      </c>
      <c r="J621" s="22">
        <f ca="1">IF(Salary[[#This Row],[پایه حقوق]]&lt;=5600000,0,(Salary[[#This Row],[پایه حقوق]]-5600000)*0.1)</f>
        <v>511400</v>
      </c>
      <c r="K621" s="16">
        <f t="shared" ca="1" si="58"/>
        <v>9452620</v>
      </c>
    </row>
    <row r="622" spans="1:11">
      <c r="A622" s="1">
        <v>9988773</v>
      </c>
      <c r="B622" s="7">
        <f t="shared" ca="1" si="54"/>
        <v>88</v>
      </c>
      <c r="C622" s="7">
        <f>MATCH(Salary[[#This Row],[ماه]],Calc!$A$16:$A$27,0)</f>
        <v>11</v>
      </c>
      <c r="D622" s="8" t="s">
        <v>96</v>
      </c>
      <c r="E622" s="9">
        <f t="shared" ca="1" si="59"/>
        <v>7241000</v>
      </c>
      <c r="F622" s="9"/>
      <c r="G622" s="9">
        <f t="shared" ca="1" si="55"/>
        <v>7241000</v>
      </c>
      <c r="H622" s="9">
        <f t="shared" ca="1" si="56"/>
        <v>1665430</v>
      </c>
      <c r="I622" s="9">
        <f t="shared" ca="1" si="57"/>
        <v>506870.00000000006</v>
      </c>
      <c r="J622" s="22">
        <f ca="1">IF(Salary[[#This Row],[پایه حقوق]]&lt;=5600000,0,(Salary[[#This Row],[پایه حقوق]]-5600000)*0.1)</f>
        <v>164100</v>
      </c>
      <c r="K622" s="16">
        <f t="shared" ca="1" si="58"/>
        <v>6570030</v>
      </c>
    </row>
    <row r="623" spans="1:11">
      <c r="A623" s="1">
        <v>9988821</v>
      </c>
      <c r="B623" s="7">
        <f t="shared" ca="1" si="54"/>
        <v>34</v>
      </c>
      <c r="C623" s="7">
        <f>MATCH(Salary[[#This Row],[ماه]],Calc!$A$16:$A$27,0)</f>
        <v>11</v>
      </c>
      <c r="D623" s="8" t="s">
        <v>96</v>
      </c>
      <c r="E623" s="9">
        <f t="shared" ca="1" si="59"/>
        <v>10275000</v>
      </c>
      <c r="F623" s="9"/>
      <c r="G623" s="9">
        <f t="shared" ca="1" si="55"/>
        <v>10275000</v>
      </c>
      <c r="H623" s="9">
        <f t="shared" ca="1" si="56"/>
        <v>2363250</v>
      </c>
      <c r="I623" s="9">
        <f t="shared" ca="1" si="57"/>
        <v>719250.00000000012</v>
      </c>
      <c r="J623" s="22">
        <f ca="1">IF(Salary[[#This Row],[پایه حقوق]]&lt;=5600000,0,(Salary[[#This Row],[پایه حقوق]]-5600000)*0.1)</f>
        <v>467500</v>
      </c>
      <c r="K623" s="16">
        <f t="shared" ca="1" si="58"/>
        <v>9088250</v>
      </c>
    </row>
    <row r="624" spans="1:11">
      <c r="A624" s="1">
        <v>9988869</v>
      </c>
      <c r="B624" s="7">
        <f t="shared" ca="1" si="54"/>
        <v>91</v>
      </c>
      <c r="C624" s="7">
        <f>MATCH(Salary[[#This Row],[ماه]],Calc!$A$16:$A$27,0)</f>
        <v>11</v>
      </c>
      <c r="D624" s="8" t="s">
        <v>96</v>
      </c>
      <c r="E624" s="9">
        <f t="shared" ca="1" si="59"/>
        <v>3608000</v>
      </c>
      <c r="F624" s="9"/>
      <c r="G624" s="9">
        <f t="shared" ca="1" si="55"/>
        <v>3608000</v>
      </c>
      <c r="H624" s="9">
        <f t="shared" ca="1" si="56"/>
        <v>829840</v>
      </c>
      <c r="I624" s="9">
        <f t="shared" ca="1" si="57"/>
        <v>252560.00000000003</v>
      </c>
      <c r="J624" s="22">
        <f ca="1">IF(Salary[[#This Row],[پایه حقوق]]&lt;=5600000,0,(Salary[[#This Row],[پایه حقوق]]-5600000)*0.1)</f>
        <v>0</v>
      </c>
      <c r="K624" s="16">
        <f t="shared" ca="1" si="58"/>
        <v>3355440</v>
      </c>
    </row>
    <row r="625" spans="1:11">
      <c r="A625" s="1">
        <v>9988917</v>
      </c>
      <c r="B625" s="7">
        <f t="shared" ca="1" si="54"/>
        <v>38</v>
      </c>
      <c r="C625" s="7">
        <f>MATCH(Salary[[#This Row],[ماه]],Calc!$A$16:$A$27,0)</f>
        <v>11</v>
      </c>
      <c r="D625" s="8" t="s">
        <v>96</v>
      </c>
      <c r="E625" s="9">
        <f t="shared" ca="1" si="59"/>
        <v>11779000</v>
      </c>
      <c r="F625" s="9"/>
      <c r="G625" s="9">
        <f t="shared" ca="1" si="55"/>
        <v>11779000</v>
      </c>
      <c r="H625" s="9">
        <f t="shared" ca="1" si="56"/>
        <v>2709170</v>
      </c>
      <c r="I625" s="9">
        <f t="shared" ca="1" si="57"/>
        <v>824530.00000000012</v>
      </c>
      <c r="J625" s="22">
        <f ca="1">IF(Salary[[#This Row],[پایه حقوق]]&lt;=5600000,0,(Salary[[#This Row],[پایه حقوق]]-5600000)*0.1)</f>
        <v>617900</v>
      </c>
      <c r="K625" s="16">
        <f t="shared" ca="1" si="58"/>
        <v>10336570</v>
      </c>
    </row>
    <row r="626" spans="1:11">
      <c r="A626" s="1">
        <v>9988965</v>
      </c>
      <c r="B626" s="7">
        <f t="shared" ca="1" si="54"/>
        <v>63</v>
      </c>
      <c r="C626" s="7">
        <f>MATCH(Salary[[#This Row],[ماه]],Calc!$A$16:$A$27,0)</f>
        <v>11</v>
      </c>
      <c r="D626" s="8" t="s">
        <v>96</v>
      </c>
      <c r="E626" s="9">
        <f t="shared" ca="1" si="59"/>
        <v>13446000</v>
      </c>
      <c r="F626" s="9"/>
      <c r="G626" s="9">
        <f t="shared" ca="1" si="55"/>
        <v>13446000</v>
      </c>
      <c r="H626" s="9">
        <f t="shared" ca="1" si="56"/>
        <v>3092580</v>
      </c>
      <c r="I626" s="9">
        <f t="shared" ca="1" si="57"/>
        <v>941220.00000000012</v>
      </c>
      <c r="J626" s="22">
        <f ca="1">IF(Salary[[#This Row],[پایه حقوق]]&lt;=5600000,0,(Salary[[#This Row],[پایه حقوق]]-5600000)*0.1)</f>
        <v>784600</v>
      </c>
      <c r="K626" s="16">
        <f t="shared" ca="1" si="58"/>
        <v>11720180</v>
      </c>
    </row>
    <row r="627" spans="1:11">
      <c r="A627" s="1">
        <v>9989013</v>
      </c>
      <c r="B627" s="7">
        <f t="shared" ca="1" si="54"/>
        <v>50</v>
      </c>
      <c r="C627" s="7">
        <f>MATCH(Salary[[#This Row],[ماه]],Calc!$A$16:$A$27,0)</f>
        <v>11</v>
      </c>
      <c r="D627" s="8" t="s">
        <v>96</v>
      </c>
      <c r="E627" s="9">
        <f t="shared" ca="1" si="59"/>
        <v>7568000</v>
      </c>
      <c r="F627" s="9"/>
      <c r="G627" s="9">
        <f t="shared" ca="1" si="55"/>
        <v>7568000</v>
      </c>
      <c r="H627" s="9">
        <f t="shared" ca="1" si="56"/>
        <v>1740640</v>
      </c>
      <c r="I627" s="9">
        <f t="shared" ca="1" si="57"/>
        <v>529760</v>
      </c>
      <c r="J627" s="22">
        <f ca="1">IF(Salary[[#This Row],[پایه حقوق]]&lt;=5600000,0,(Salary[[#This Row],[پایه حقوق]]-5600000)*0.1)</f>
        <v>196800</v>
      </c>
      <c r="K627" s="16">
        <f t="shared" ca="1" si="58"/>
        <v>6841440</v>
      </c>
    </row>
    <row r="628" spans="1:11">
      <c r="A628" s="1">
        <v>9989061</v>
      </c>
      <c r="B628" s="7">
        <f t="shared" ca="1" si="54"/>
        <v>77</v>
      </c>
      <c r="C628" s="7">
        <f>MATCH(Salary[[#This Row],[ماه]],Calc!$A$16:$A$27,0)</f>
        <v>11</v>
      </c>
      <c r="D628" s="8" t="s">
        <v>96</v>
      </c>
      <c r="E628" s="9">
        <f t="shared" ca="1" si="59"/>
        <v>14276000</v>
      </c>
      <c r="F628" s="9"/>
      <c r="G628" s="9">
        <f t="shared" ca="1" si="55"/>
        <v>14276000</v>
      </c>
      <c r="H628" s="9">
        <f t="shared" ca="1" si="56"/>
        <v>3283480</v>
      </c>
      <c r="I628" s="9">
        <f t="shared" ca="1" si="57"/>
        <v>999320.00000000012</v>
      </c>
      <c r="J628" s="22">
        <f ca="1">IF(Salary[[#This Row],[پایه حقوق]]&lt;=5600000,0,(Salary[[#This Row],[پایه حقوق]]-5600000)*0.1)</f>
        <v>867600</v>
      </c>
      <c r="K628" s="16">
        <f t="shared" ca="1" si="58"/>
        <v>12409080</v>
      </c>
    </row>
    <row r="629" spans="1:11">
      <c r="A629" s="1">
        <v>9989109</v>
      </c>
      <c r="B629" s="7">
        <f t="shared" ca="1" si="54"/>
        <v>52</v>
      </c>
      <c r="C629" s="7">
        <f>MATCH(Salary[[#This Row],[ماه]],Calc!$A$16:$A$27,0)</f>
        <v>11</v>
      </c>
      <c r="D629" s="8" t="s">
        <v>96</v>
      </c>
      <c r="E629" s="9">
        <f t="shared" ca="1" si="59"/>
        <v>5807000</v>
      </c>
      <c r="F629" s="9"/>
      <c r="G629" s="9">
        <f t="shared" ca="1" si="55"/>
        <v>5807000</v>
      </c>
      <c r="H629" s="9">
        <f t="shared" ca="1" si="56"/>
        <v>1335610</v>
      </c>
      <c r="I629" s="9">
        <f t="shared" ca="1" si="57"/>
        <v>406490.00000000006</v>
      </c>
      <c r="J629" s="22">
        <f ca="1">IF(Salary[[#This Row],[پایه حقوق]]&lt;=5600000,0,(Salary[[#This Row],[پایه حقوق]]-5600000)*0.1)</f>
        <v>20700</v>
      </c>
      <c r="K629" s="16">
        <f t="shared" ca="1" si="58"/>
        <v>5379810</v>
      </c>
    </row>
    <row r="630" spans="1:11">
      <c r="A630" s="1">
        <v>9989157</v>
      </c>
      <c r="B630" s="7">
        <f t="shared" ca="1" si="54"/>
        <v>33</v>
      </c>
      <c r="C630" s="7">
        <f>MATCH(Salary[[#This Row],[ماه]],Calc!$A$16:$A$27,0)</f>
        <v>11</v>
      </c>
      <c r="D630" s="8" t="s">
        <v>96</v>
      </c>
      <c r="E630" s="9">
        <f t="shared" ca="1" si="59"/>
        <v>4525000</v>
      </c>
      <c r="F630" s="9"/>
      <c r="G630" s="9">
        <f t="shared" ca="1" si="55"/>
        <v>4525000</v>
      </c>
      <c r="H630" s="9">
        <f t="shared" ca="1" si="56"/>
        <v>1040750</v>
      </c>
      <c r="I630" s="9">
        <f t="shared" ca="1" si="57"/>
        <v>316750.00000000006</v>
      </c>
      <c r="J630" s="22">
        <f ca="1">IF(Salary[[#This Row],[پایه حقوق]]&lt;=5600000,0,(Salary[[#This Row],[پایه حقوق]]-5600000)*0.1)</f>
        <v>0</v>
      </c>
      <c r="K630" s="16">
        <f t="shared" ca="1" si="58"/>
        <v>4208250</v>
      </c>
    </row>
    <row r="631" spans="1:11">
      <c r="A631" s="1">
        <v>9989205</v>
      </c>
      <c r="B631" s="7">
        <f t="shared" ca="1" si="54"/>
        <v>70</v>
      </c>
      <c r="C631" s="7">
        <f>MATCH(Salary[[#This Row],[ماه]],Calc!$A$16:$A$27,0)</f>
        <v>11</v>
      </c>
      <c r="D631" s="8" t="s">
        <v>96</v>
      </c>
      <c r="E631" s="9">
        <f t="shared" ca="1" si="59"/>
        <v>13483000</v>
      </c>
      <c r="F631" s="9"/>
      <c r="G631" s="9">
        <f t="shared" ca="1" si="55"/>
        <v>13483000</v>
      </c>
      <c r="H631" s="9">
        <f t="shared" ca="1" si="56"/>
        <v>3101090</v>
      </c>
      <c r="I631" s="9">
        <f t="shared" ca="1" si="57"/>
        <v>943810.00000000012</v>
      </c>
      <c r="J631" s="22">
        <f ca="1">IF(Salary[[#This Row],[پایه حقوق]]&lt;=5600000,0,(Salary[[#This Row],[پایه حقوق]]-5600000)*0.1)</f>
        <v>788300</v>
      </c>
      <c r="K631" s="16">
        <f t="shared" ca="1" si="58"/>
        <v>11750890</v>
      </c>
    </row>
    <row r="632" spans="1:11">
      <c r="A632" s="1">
        <v>9989253</v>
      </c>
      <c r="B632" s="7">
        <f t="shared" ca="1" si="54"/>
        <v>56</v>
      </c>
      <c r="C632" s="7">
        <f>MATCH(Salary[[#This Row],[ماه]],Calc!$A$16:$A$27,0)</f>
        <v>11</v>
      </c>
      <c r="D632" s="8" t="s">
        <v>96</v>
      </c>
      <c r="E632" s="9">
        <f t="shared" ca="1" si="59"/>
        <v>10978000</v>
      </c>
      <c r="F632" s="9"/>
      <c r="G632" s="9">
        <f t="shared" ca="1" si="55"/>
        <v>10978000</v>
      </c>
      <c r="H632" s="9">
        <f t="shared" ca="1" si="56"/>
        <v>2524940</v>
      </c>
      <c r="I632" s="9">
        <f t="shared" ca="1" si="57"/>
        <v>768460.00000000012</v>
      </c>
      <c r="J632" s="22">
        <f ca="1">IF(Salary[[#This Row],[پایه حقوق]]&lt;=5600000,0,(Salary[[#This Row],[پایه حقوق]]-5600000)*0.1)</f>
        <v>537800</v>
      </c>
      <c r="K632" s="16">
        <f t="shared" ca="1" si="58"/>
        <v>9671740</v>
      </c>
    </row>
    <row r="633" spans="1:11">
      <c r="A633" s="1">
        <v>9989301</v>
      </c>
      <c r="B633" s="7">
        <f t="shared" ca="1" si="54"/>
        <v>45</v>
      </c>
      <c r="C633" s="7">
        <f>MATCH(Salary[[#This Row],[ماه]],Calc!$A$16:$A$27,0)</f>
        <v>11</v>
      </c>
      <c r="D633" s="8" t="s">
        <v>96</v>
      </c>
      <c r="E633" s="9">
        <f t="shared" ca="1" si="59"/>
        <v>10658000</v>
      </c>
      <c r="F633" s="9"/>
      <c r="G633" s="9">
        <f t="shared" ca="1" si="55"/>
        <v>10658000</v>
      </c>
      <c r="H633" s="9">
        <f t="shared" ca="1" si="56"/>
        <v>2451340</v>
      </c>
      <c r="I633" s="9">
        <f t="shared" ca="1" si="57"/>
        <v>746060.00000000012</v>
      </c>
      <c r="J633" s="22">
        <f ca="1">IF(Salary[[#This Row],[پایه حقوق]]&lt;=5600000,0,(Salary[[#This Row],[پایه حقوق]]-5600000)*0.1)</f>
        <v>505800</v>
      </c>
      <c r="K633" s="16">
        <f t="shared" ca="1" si="58"/>
        <v>9406140</v>
      </c>
    </row>
    <row r="634" spans="1:11">
      <c r="A634" s="1">
        <v>9989349</v>
      </c>
      <c r="B634" s="7">
        <f t="shared" ca="1" si="54"/>
        <v>49</v>
      </c>
      <c r="C634" s="7">
        <f>MATCH(Salary[[#This Row],[ماه]],Calc!$A$16:$A$27,0)</f>
        <v>11</v>
      </c>
      <c r="D634" s="8" t="s">
        <v>96</v>
      </c>
      <c r="E634" s="9">
        <f t="shared" ca="1" si="59"/>
        <v>10002000</v>
      </c>
      <c r="F634" s="9"/>
      <c r="G634" s="9">
        <f t="shared" ca="1" si="55"/>
        <v>10002000</v>
      </c>
      <c r="H634" s="9">
        <f t="shared" ca="1" si="56"/>
        <v>2300460</v>
      </c>
      <c r="I634" s="9">
        <f t="shared" ca="1" si="57"/>
        <v>700140.00000000012</v>
      </c>
      <c r="J634" s="22">
        <f ca="1">IF(Salary[[#This Row],[پایه حقوق]]&lt;=5600000,0,(Salary[[#This Row],[پایه حقوق]]-5600000)*0.1)</f>
        <v>440200</v>
      </c>
      <c r="K634" s="16">
        <f t="shared" ca="1" si="58"/>
        <v>8861660</v>
      </c>
    </row>
    <row r="635" spans="1:11">
      <c r="A635" s="1">
        <v>9989397</v>
      </c>
      <c r="B635" s="7">
        <f t="shared" ca="1" si="54"/>
        <v>73</v>
      </c>
      <c r="C635" s="7">
        <f>MATCH(Salary[[#This Row],[ماه]],Calc!$A$16:$A$27,0)</f>
        <v>11</v>
      </c>
      <c r="D635" s="8" t="s">
        <v>96</v>
      </c>
      <c r="E635" s="9">
        <f t="shared" ca="1" si="59"/>
        <v>11425000</v>
      </c>
      <c r="F635" s="9"/>
      <c r="G635" s="9">
        <f t="shared" ca="1" si="55"/>
        <v>11425000</v>
      </c>
      <c r="H635" s="9">
        <f t="shared" ca="1" si="56"/>
        <v>2627750</v>
      </c>
      <c r="I635" s="9">
        <f t="shared" ca="1" si="57"/>
        <v>799750.00000000012</v>
      </c>
      <c r="J635" s="22">
        <f ca="1">IF(Salary[[#This Row],[پایه حقوق]]&lt;=5600000,0,(Salary[[#This Row],[پایه حقوق]]-5600000)*0.1)</f>
        <v>582500</v>
      </c>
      <c r="K635" s="16">
        <f t="shared" ca="1" si="58"/>
        <v>10042750</v>
      </c>
    </row>
    <row r="636" spans="1:11">
      <c r="A636" s="1">
        <v>9989445</v>
      </c>
      <c r="B636" s="7">
        <f t="shared" ca="1" si="54"/>
        <v>91</v>
      </c>
      <c r="C636" s="7">
        <f>MATCH(Salary[[#This Row],[ماه]],Calc!$A$16:$A$27,0)</f>
        <v>11</v>
      </c>
      <c r="D636" s="8" t="s">
        <v>96</v>
      </c>
      <c r="E636" s="9">
        <f t="shared" ca="1" si="59"/>
        <v>11801000</v>
      </c>
      <c r="F636" s="9"/>
      <c r="G636" s="9">
        <f t="shared" ca="1" si="55"/>
        <v>11801000</v>
      </c>
      <c r="H636" s="9">
        <f t="shared" ca="1" si="56"/>
        <v>2714230</v>
      </c>
      <c r="I636" s="9">
        <f t="shared" ca="1" si="57"/>
        <v>826070.00000000012</v>
      </c>
      <c r="J636" s="22">
        <f ca="1">IF(Salary[[#This Row],[پایه حقوق]]&lt;=5600000,0,(Salary[[#This Row],[پایه حقوق]]-5600000)*0.1)</f>
        <v>620100</v>
      </c>
      <c r="K636" s="16">
        <f t="shared" ca="1" si="58"/>
        <v>10354830</v>
      </c>
    </row>
    <row r="637" spans="1:11">
      <c r="A637" s="1">
        <v>9989493</v>
      </c>
      <c r="B637" s="7">
        <f t="shared" ca="1" si="54"/>
        <v>65</v>
      </c>
      <c r="C637" s="7">
        <f>MATCH(Salary[[#This Row],[ماه]],Calc!$A$16:$A$27,0)</f>
        <v>11</v>
      </c>
      <c r="D637" s="8" t="s">
        <v>96</v>
      </c>
      <c r="E637" s="9">
        <f t="shared" ca="1" si="59"/>
        <v>11414000</v>
      </c>
      <c r="F637" s="9"/>
      <c r="G637" s="9">
        <f t="shared" ca="1" si="55"/>
        <v>11414000</v>
      </c>
      <c r="H637" s="9">
        <f t="shared" ca="1" si="56"/>
        <v>2625220</v>
      </c>
      <c r="I637" s="9">
        <f t="shared" ca="1" si="57"/>
        <v>798980.00000000012</v>
      </c>
      <c r="J637" s="22">
        <f ca="1">IF(Salary[[#This Row],[پایه حقوق]]&lt;=5600000,0,(Salary[[#This Row],[پایه حقوق]]-5600000)*0.1)</f>
        <v>581400</v>
      </c>
      <c r="K637" s="16">
        <f t="shared" ca="1" si="58"/>
        <v>10033620</v>
      </c>
    </row>
    <row r="638" spans="1:11">
      <c r="A638" s="1">
        <v>9989541</v>
      </c>
      <c r="B638" s="7">
        <f t="shared" ca="1" si="54"/>
        <v>53</v>
      </c>
      <c r="C638" s="7">
        <f>MATCH(Salary[[#This Row],[ماه]],Calc!$A$16:$A$27,0)</f>
        <v>11</v>
      </c>
      <c r="D638" s="8" t="s">
        <v>96</v>
      </c>
      <c r="E638" s="9">
        <f t="shared" ca="1" si="59"/>
        <v>13528000</v>
      </c>
      <c r="F638" s="9"/>
      <c r="G638" s="9">
        <f t="shared" ca="1" si="55"/>
        <v>13528000</v>
      </c>
      <c r="H638" s="9">
        <f t="shared" ca="1" si="56"/>
        <v>3111440</v>
      </c>
      <c r="I638" s="9">
        <f t="shared" ca="1" si="57"/>
        <v>946960.00000000012</v>
      </c>
      <c r="J638" s="22">
        <f ca="1">IF(Salary[[#This Row],[پایه حقوق]]&lt;=5600000,0,(Salary[[#This Row],[پایه حقوق]]-5600000)*0.1)</f>
        <v>792800</v>
      </c>
      <c r="K638" s="16">
        <f t="shared" ca="1" si="58"/>
        <v>11788240</v>
      </c>
    </row>
    <row r="639" spans="1:11">
      <c r="A639" s="1">
        <v>9989589</v>
      </c>
      <c r="B639" s="7">
        <f t="shared" ca="1" si="54"/>
        <v>53</v>
      </c>
      <c r="C639" s="7">
        <f>MATCH(Salary[[#This Row],[ماه]],Calc!$A$16:$A$27,0)</f>
        <v>11</v>
      </c>
      <c r="D639" s="8" t="s">
        <v>96</v>
      </c>
      <c r="E639" s="9">
        <f t="shared" ca="1" si="59"/>
        <v>10332000</v>
      </c>
      <c r="F639" s="9"/>
      <c r="G639" s="9">
        <f t="shared" ca="1" si="55"/>
        <v>10332000</v>
      </c>
      <c r="H639" s="9">
        <f t="shared" ca="1" si="56"/>
        <v>2376360</v>
      </c>
      <c r="I639" s="9">
        <f t="shared" ca="1" si="57"/>
        <v>723240.00000000012</v>
      </c>
      <c r="J639" s="22">
        <f ca="1">IF(Salary[[#This Row],[پایه حقوق]]&lt;=5600000,0,(Salary[[#This Row],[پایه حقوق]]-5600000)*0.1)</f>
        <v>473200</v>
      </c>
      <c r="K639" s="16">
        <f t="shared" ca="1" si="58"/>
        <v>9135560</v>
      </c>
    </row>
    <row r="640" spans="1:11">
      <c r="A640" s="1">
        <v>9989637</v>
      </c>
      <c r="B640" s="7">
        <f t="shared" ca="1" si="54"/>
        <v>34</v>
      </c>
      <c r="C640" s="7">
        <f>MATCH(Salary[[#This Row],[ماه]],Calc!$A$16:$A$27,0)</f>
        <v>11</v>
      </c>
      <c r="D640" s="8" t="s">
        <v>96</v>
      </c>
      <c r="E640" s="9">
        <f t="shared" ca="1" si="59"/>
        <v>14951000</v>
      </c>
      <c r="F640" s="9"/>
      <c r="G640" s="9">
        <f t="shared" ca="1" si="55"/>
        <v>14951000</v>
      </c>
      <c r="H640" s="9">
        <f t="shared" ca="1" si="56"/>
        <v>3438730</v>
      </c>
      <c r="I640" s="9">
        <f t="shared" ca="1" si="57"/>
        <v>1046570.0000000001</v>
      </c>
      <c r="J640" s="22">
        <f ca="1">IF(Salary[[#This Row],[پایه حقوق]]&lt;=5600000,0,(Salary[[#This Row],[پایه حقوق]]-5600000)*0.1)</f>
        <v>935100</v>
      </c>
      <c r="K640" s="16">
        <f t="shared" ca="1" si="58"/>
        <v>12969330</v>
      </c>
    </row>
    <row r="641" spans="1:11">
      <c r="A641" s="1">
        <v>9989685</v>
      </c>
      <c r="B641" s="7">
        <f t="shared" ca="1" si="54"/>
        <v>76</v>
      </c>
      <c r="C641" s="7">
        <f>MATCH(Salary[[#This Row],[ماه]],Calc!$A$16:$A$27,0)</f>
        <v>11</v>
      </c>
      <c r="D641" s="8" t="s">
        <v>96</v>
      </c>
      <c r="E641" s="9">
        <f t="shared" ca="1" si="59"/>
        <v>7186000</v>
      </c>
      <c r="F641" s="9"/>
      <c r="G641" s="9">
        <f t="shared" ca="1" si="55"/>
        <v>7186000</v>
      </c>
      <c r="H641" s="9">
        <f t="shared" ca="1" si="56"/>
        <v>1652780</v>
      </c>
      <c r="I641" s="9">
        <f t="shared" ca="1" si="57"/>
        <v>503020.00000000006</v>
      </c>
      <c r="J641" s="22">
        <f ca="1">IF(Salary[[#This Row],[پایه حقوق]]&lt;=5600000,0,(Salary[[#This Row],[پایه حقوق]]-5600000)*0.1)</f>
        <v>158600</v>
      </c>
      <c r="K641" s="16">
        <f t="shared" ca="1" si="58"/>
        <v>6524380</v>
      </c>
    </row>
    <row r="642" spans="1:11">
      <c r="A642" s="1">
        <v>9989733</v>
      </c>
      <c r="B642" s="7">
        <f t="shared" ref="B642:B705" ca="1" si="60">RANDBETWEEN(30,100)</f>
        <v>30</v>
      </c>
      <c r="C642" s="7">
        <f>MATCH(Salary[[#This Row],[ماه]],Calc!$A$16:$A$27,0)</f>
        <v>11</v>
      </c>
      <c r="D642" s="8" t="s">
        <v>96</v>
      </c>
      <c r="E642" s="9">
        <f t="shared" ca="1" si="59"/>
        <v>13069000</v>
      </c>
      <c r="F642" s="9"/>
      <c r="G642" s="9">
        <f t="shared" ref="G642:G705" ca="1" si="61">E642+F642</f>
        <v>13069000</v>
      </c>
      <c r="H642" s="9">
        <f t="shared" ref="H642:H705" ca="1" si="62">0.23*E642</f>
        <v>3005870</v>
      </c>
      <c r="I642" s="9">
        <f t="shared" ref="I642:I705" ca="1" si="63">0.07*E642</f>
        <v>914830.00000000012</v>
      </c>
      <c r="J642" s="22">
        <f ca="1">IF(Salary[[#This Row],[پایه حقوق]]&lt;=5600000,0,(Salary[[#This Row],[پایه حقوق]]-5600000)*0.1)</f>
        <v>746900</v>
      </c>
      <c r="K642" s="16">
        <f t="shared" ref="K642:K705" ca="1" si="64">G642-I642-J642</f>
        <v>11407270</v>
      </c>
    </row>
    <row r="643" spans="1:11">
      <c r="A643" s="1">
        <v>9989781</v>
      </c>
      <c r="B643" s="7">
        <f t="shared" ca="1" si="60"/>
        <v>49</v>
      </c>
      <c r="C643" s="7">
        <f>MATCH(Salary[[#This Row],[ماه]],Calc!$A$16:$A$27,0)</f>
        <v>11</v>
      </c>
      <c r="D643" s="8" t="s">
        <v>96</v>
      </c>
      <c r="E643" s="9">
        <f t="shared" ref="E643:E706" ca="1" si="65">RANDBETWEEN(3000,15000)*1000</f>
        <v>7124000</v>
      </c>
      <c r="F643" s="9"/>
      <c r="G643" s="9">
        <f t="shared" ca="1" si="61"/>
        <v>7124000</v>
      </c>
      <c r="H643" s="9">
        <f t="shared" ca="1" si="62"/>
        <v>1638520</v>
      </c>
      <c r="I643" s="9">
        <f t="shared" ca="1" si="63"/>
        <v>498680.00000000006</v>
      </c>
      <c r="J643" s="22">
        <f ca="1">IF(Salary[[#This Row],[پایه حقوق]]&lt;=5600000,0,(Salary[[#This Row],[پایه حقوق]]-5600000)*0.1)</f>
        <v>152400</v>
      </c>
      <c r="K643" s="16">
        <f t="shared" ca="1" si="64"/>
        <v>6472920</v>
      </c>
    </row>
    <row r="644" spans="1:11">
      <c r="A644" s="1">
        <v>9989829</v>
      </c>
      <c r="B644" s="7">
        <f t="shared" ca="1" si="60"/>
        <v>39</v>
      </c>
      <c r="C644" s="7">
        <f>MATCH(Salary[[#This Row],[ماه]],Calc!$A$16:$A$27,0)</f>
        <v>11</v>
      </c>
      <c r="D644" s="8" t="s">
        <v>96</v>
      </c>
      <c r="E644" s="9">
        <f t="shared" ca="1" si="65"/>
        <v>12113000</v>
      </c>
      <c r="F644" s="9"/>
      <c r="G644" s="9">
        <f t="shared" ca="1" si="61"/>
        <v>12113000</v>
      </c>
      <c r="H644" s="9">
        <f t="shared" ca="1" si="62"/>
        <v>2785990</v>
      </c>
      <c r="I644" s="9">
        <f t="shared" ca="1" si="63"/>
        <v>847910.00000000012</v>
      </c>
      <c r="J644" s="22">
        <f ca="1">IF(Salary[[#This Row],[پایه حقوق]]&lt;=5600000,0,(Salary[[#This Row],[پایه حقوق]]-5600000)*0.1)</f>
        <v>651300</v>
      </c>
      <c r="K644" s="16">
        <f t="shared" ca="1" si="64"/>
        <v>10613790</v>
      </c>
    </row>
    <row r="645" spans="1:11">
      <c r="A645" s="1">
        <v>9989877</v>
      </c>
      <c r="B645" s="7">
        <f t="shared" ca="1" si="60"/>
        <v>85</v>
      </c>
      <c r="C645" s="7">
        <f>MATCH(Salary[[#This Row],[ماه]],Calc!$A$16:$A$27,0)</f>
        <v>11</v>
      </c>
      <c r="D645" s="8" t="s">
        <v>96</v>
      </c>
      <c r="E645" s="9">
        <f t="shared" ca="1" si="65"/>
        <v>13983000</v>
      </c>
      <c r="F645" s="9"/>
      <c r="G645" s="9">
        <f t="shared" ca="1" si="61"/>
        <v>13983000</v>
      </c>
      <c r="H645" s="9">
        <f t="shared" ca="1" si="62"/>
        <v>3216090</v>
      </c>
      <c r="I645" s="9">
        <f t="shared" ca="1" si="63"/>
        <v>978810.00000000012</v>
      </c>
      <c r="J645" s="22">
        <f ca="1">IF(Salary[[#This Row],[پایه حقوق]]&lt;=5600000,0,(Salary[[#This Row],[پایه حقوق]]-5600000)*0.1)</f>
        <v>838300</v>
      </c>
      <c r="K645" s="16">
        <f t="shared" ca="1" si="64"/>
        <v>12165890</v>
      </c>
    </row>
    <row r="646" spans="1:11">
      <c r="A646" s="1">
        <v>9989925</v>
      </c>
      <c r="B646" s="7">
        <f t="shared" ca="1" si="60"/>
        <v>45</v>
      </c>
      <c r="C646" s="7">
        <f>MATCH(Salary[[#This Row],[ماه]],Calc!$A$16:$A$27,0)</f>
        <v>11</v>
      </c>
      <c r="D646" s="8" t="s">
        <v>96</v>
      </c>
      <c r="E646" s="9">
        <f t="shared" ca="1" si="65"/>
        <v>10573000</v>
      </c>
      <c r="F646" s="9"/>
      <c r="G646" s="9">
        <f t="shared" ca="1" si="61"/>
        <v>10573000</v>
      </c>
      <c r="H646" s="9">
        <f t="shared" ca="1" si="62"/>
        <v>2431790</v>
      </c>
      <c r="I646" s="9">
        <f t="shared" ca="1" si="63"/>
        <v>740110.00000000012</v>
      </c>
      <c r="J646" s="22">
        <f ca="1">IF(Salary[[#This Row],[پایه حقوق]]&lt;=5600000,0,(Salary[[#This Row],[پایه حقوق]]-5600000)*0.1)</f>
        <v>497300</v>
      </c>
      <c r="K646" s="16">
        <f t="shared" ca="1" si="64"/>
        <v>9335590</v>
      </c>
    </row>
    <row r="647" spans="1:11">
      <c r="A647" s="1">
        <v>9989973</v>
      </c>
      <c r="B647" s="7">
        <f t="shared" ca="1" si="60"/>
        <v>63</v>
      </c>
      <c r="C647" s="7">
        <f>MATCH(Salary[[#This Row],[ماه]],Calc!$A$16:$A$27,0)</f>
        <v>11</v>
      </c>
      <c r="D647" s="8" t="s">
        <v>96</v>
      </c>
      <c r="E647" s="9">
        <f t="shared" ca="1" si="65"/>
        <v>14665000</v>
      </c>
      <c r="F647" s="9"/>
      <c r="G647" s="9">
        <f t="shared" ca="1" si="61"/>
        <v>14665000</v>
      </c>
      <c r="H647" s="9">
        <f t="shared" ca="1" si="62"/>
        <v>3372950</v>
      </c>
      <c r="I647" s="9">
        <f t="shared" ca="1" si="63"/>
        <v>1026550.0000000001</v>
      </c>
      <c r="J647" s="22">
        <f ca="1">IF(Salary[[#This Row],[پایه حقوق]]&lt;=5600000,0,(Salary[[#This Row],[پایه حقوق]]-5600000)*0.1)</f>
        <v>906500</v>
      </c>
      <c r="K647" s="16">
        <f t="shared" ca="1" si="64"/>
        <v>12731950</v>
      </c>
    </row>
    <row r="648" spans="1:11">
      <c r="A648" s="1">
        <v>9990021</v>
      </c>
      <c r="B648" s="7">
        <f t="shared" ca="1" si="60"/>
        <v>66</v>
      </c>
      <c r="C648" s="7">
        <f>MATCH(Salary[[#This Row],[ماه]],Calc!$A$16:$A$27,0)</f>
        <v>11</v>
      </c>
      <c r="D648" s="8" t="s">
        <v>96</v>
      </c>
      <c r="E648" s="9">
        <f t="shared" ca="1" si="65"/>
        <v>11792000</v>
      </c>
      <c r="F648" s="9"/>
      <c r="G648" s="9">
        <f t="shared" ca="1" si="61"/>
        <v>11792000</v>
      </c>
      <c r="H648" s="9">
        <f t="shared" ca="1" si="62"/>
        <v>2712160</v>
      </c>
      <c r="I648" s="9">
        <f t="shared" ca="1" si="63"/>
        <v>825440.00000000012</v>
      </c>
      <c r="J648" s="22">
        <f ca="1">IF(Salary[[#This Row],[پایه حقوق]]&lt;=5600000,0,(Salary[[#This Row],[پایه حقوق]]-5600000)*0.1)</f>
        <v>619200</v>
      </c>
      <c r="K648" s="16">
        <f t="shared" ca="1" si="64"/>
        <v>10347360</v>
      </c>
    </row>
    <row r="649" spans="1:11">
      <c r="A649" s="1">
        <v>9990069</v>
      </c>
      <c r="B649" s="7">
        <f t="shared" ca="1" si="60"/>
        <v>67</v>
      </c>
      <c r="C649" s="7">
        <f>MATCH(Salary[[#This Row],[ماه]],Calc!$A$16:$A$27,0)</f>
        <v>11</v>
      </c>
      <c r="D649" s="8" t="s">
        <v>96</v>
      </c>
      <c r="E649" s="9">
        <f t="shared" ca="1" si="65"/>
        <v>14971000</v>
      </c>
      <c r="F649" s="9"/>
      <c r="G649" s="9">
        <f t="shared" ca="1" si="61"/>
        <v>14971000</v>
      </c>
      <c r="H649" s="9">
        <f t="shared" ca="1" si="62"/>
        <v>3443330</v>
      </c>
      <c r="I649" s="9">
        <f t="shared" ca="1" si="63"/>
        <v>1047970.0000000001</v>
      </c>
      <c r="J649" s="22">
        <f ca="1">IF(Salary[[#This Row],[پایه حقوق]]&lt;=5600000,0,(Salary[[#This Row],[پایه حقوق]]-5600000)*0.1)</f>
        <v>937100</v>
      </c>
      <c r="K649" s="16">
        <f t="shared" ca="1" si="64"/>
        <v>12985930</v>
      </c>
    </row>
    <row r="650" spans="1:11">
      <c r="A650" s="1">
        <v>9990117</v>
      </c>
      <c r="B650" s="7">
        <f t="shared" ca="1" si="60"/>
        <v>87</v>
      </c>
      <c r="C650" s="7">
        <f>MATCH(Salary[[#This Row],[ماه]],Calc!$A$16:$A$27,0)</f>
        <v>11</v>
      </c>
      <c r="D650" s="8" t="s">
        <v>96</v>
      </c>
      <c r="E650" s="9">
        <f t="shared" ca="1" si="65"/>
        <v>12798000</v>
      </c>
      <c r="F650" s="9"/>
      <c r="G650" s="9">
        <f t="shared" ca="1" si="61"/>
        <v>12798000</v>
      </c>
      <c r="H650" s="9">
        <f t="shared" ca="1" si="62"/>
        <v>2943540</v>
      </c>
      <c r="I650" s="9">
        <f t="shared" ca="1" si="63"/>
        <v>895860.00000000012</v>
      </c>
      <c r="J650" s="22">
        <f ca="1">IF(Salary[[#This Row],[پایه حقوق]]&lt;=5600000,0,(Salary[[#This Row],[پایه حقوق]]-5600000)*0.1)</f>
        <v>719800</v>
      </c>
      <c r="K650" s="16">
        <f t="shared" ca="1" si="64"/>
        <v>11182340</v>
      </c>
    </row>
    <row r="651" spans="1:11">
      <c r="A651" s="1">
        <v>9990165</v>
      </c>
      <c r="B651" s="7">
        <f t="shared" ca="1" si="60"/>
        <v>95</v>
      </c>
      <c r="C651" s="7">
        <f>MATCH(Salary[[#This Row],[ماه]],Calc!$A$16:$A$27,0)</f>
        <v>11</v>
      </c>
      <c r="D651" s="8" t="s">
        <v>96</v>
      </c>
      <c r="E651" s="9">
        <f t="shared" ca="1" si="65"/>
        <v>13165000</v>
      </c>
      <c r="F651" s="9"/>
      <c r="G651" s="9">
        <f t="shared" ca="1" si="61"/>
        <v>13165000</v>
      </c>
      <c r="H651" s="9">
        <f t="shared" ca="1" si="62"/>
        <v>3027950</v>
      </c>
      <c r="I651" s="9">
        <f t="shared" ca="1" si="63"/>
        <v>921550.00000000012</v>
      </c>
      <c r="J651" s="22">
        <f ca="1">IF(Salary[[#This Row],[پایه حقوق]]&lt;=5600000,0,(Salary[[#This Row],[پایه حقوق]]-5600000)*0.1)</f>
        <v>756500</v>
      </c>
      <c r="K651" s="16">
        <f t="shared" ca="1" si="64"/>
        <v>11486950</v>
      </c>
    </row>
    <row r="652" spans="1:11">
      <c r="A652" s="1">
        <v>9990213</v>
      </c>
      <c r="B652" s="7">
        <f t="shared" ca="1" si="60"/>
        <v>100</v>
      </c>
      <c r="C652" s="7">
        <f>MATCH(Salary[[#This Row],[ماه]],Calc!$A$16:$A$27,0)</f>
        <v>11</v>
      </c>
      <c r="D652" s="8" t="s">
        <v>96</v>
      </c>
      <c r="E652" s="9">
        <f t="shared" ca="1" si="65"/>
        <v>10102000</v>
      </c>
      <c r="F652" s="9"/>
      <c r="G652" s="9">
        <f t="shared" ca="1" si="61"/>
        <v>10102000</v>
      </c>
      <c r="H652" s="9">
        <f t="shared" ca="1" si="62"/>
        <v>2323460</v>
      </c>
      <c r="I652" s="9">
        <f t="shared" ca="1" si="63"/>
        <v>707140.00000000012</v>
      </c>
      <c r="J652" s="22">
        <f ca="1">IF(Salary[[#This Row],[پایه حقوق]]&lt;=5600000,0,(Salary[[#This Row],[پایه حقوق]]-5600000)*0.1)</f>
        <v>450200</v>
      </c>
      <c r="K652" s="16">
        <f t="shared" ca="1" si="64"/>
        <v>8944660</v>
      </c>
    </row>
    <row r="653" spans="1:11">
      <c r="A653" s="1">
        <v>9990261</v>
      </c>
      <c r="B653" s="7">
        <f t="shared" ca="1" si="60"/>
        <v>65</v>
      </c>
      <c r="C653" s="7">
        <f>MATCH(Salary[[#This Row],[ماه]],Calc!$A$16:$A$27,0)</f>
        <v>11</v>
      </c>
      <c r="D653" s="8" t="s">
        <v>96</v>
      </c>
      <c r="E653" s="9">
        <f t="shared" ca="1" si="65"/>
        <v>9700000</v>
      </c>
      <c r="F653" s="9"/>
      <c r="G653" s="9">
        <f t="shared" ca="1" si="61"/>
        <v>9700000</v>
      </c>
      <c r="H653" s="9">
        <f t="shared" ca="1" si="62"/>
        <v>2231000</v>
      </c>
      <c r="I653" s="9">
        <f t="shared" ca="1" si="63"/>
        <v>679000.00000000012</v>
      </c>
      <c r="J653" s="22">
        <f ca="1">IF(Salary[[#This Row],[پایه حقوق]]&lt;=5600000,0,(Salary[[#This Row],[پایه حقوق]]-5600000)*0.1)</f>
        <v>410000</v>
      </c>
      <c r="K653" s="16">
        <f t="shared" ca="1" si="64"/>
        <v>8611000</v>
      </c>
    </row>
    <row r="654" spans="1:11">
      <c r="A654" s="1">
        <v>9990309</v>
      </c>
      <c r="B654" s="7">
        <f t="shared" ca="1" si="60"/>
        <v>41</v>
      </c>
      <c r="C654" s="7">
        <f>MATCH(Salary[[#This Row],[ماه]],Calc!$A$16:$A$27,0)</f>
        <v>11</v>
      </c>
      <c r="D654" s="8" t="s">
        <v>96</v>
      </c>
      <c r="E654" s="9">
        <f t="shared" ca="1" si="65"/>
        <v>11827000</v>
      </c>
      <c r="F654" s="9"/>
      <c r="G654" s="9">
        <f t="shared" ca="1" si="61"/>
        <v>11827000</v>
      </c>
      <c r="H654" s="9">
        <f t="shared" ca="1" si="62"/>
        <v>2720210</v>
      </c>
      <c r="I654" s="9">
        <f t="shared" ca="1" si="63"/>
        <v>827890.00000000012</v>
      </c>
      <c r="J654" s="22">
        <f ca="1">IF(Salary[[#This Row],[پایه حقوق]]&lt;=5600000,0,(Salary[[#This Row],[پایه حقوق]]-5600000)*0.1)</f>
        <v>622700</v>
      </c>
      <c r="K654" s="16">
        <f t="shared" ca="1" si="64"/>
        <v>10376410</v>
      </c>
    </row>
    <row r="655" spans="1:11">
      <c r="A655" s="1">
        <v>9990357</v>
      </c>
      <c r="B655" s="7">
        <f t="shared" ca="1" si="60"/>
        <v>71</v>
      </c>
      <c r="C655" s="7">
        <f>MATCH(Salary[[#This Row],[ماه]],Calc!$A$16:$A$27,0)</f>
        <v>11</v>
      </c>
      <c r="D655" s="8" t="s">
        <v>96</v>
      </c>
      <c r="E655" s="9">
        <f t="shared" ca="1" si="65"/>
        <v>9501000</v>
      </c>
      <c r="F655" s="9"/>
      <c r="G655" s="9">
        <f t="shared" ca="1" si="61"/>
        <v>9501000</v>
      </c>
      <c r="H655" s="9">
        <f t="shared" ca="1" si="62"/>
        <v>2185230</v>
      </c>
      <c r="I655" s="9">
        <f t="shared" ca="1" si="63"/>
        <v>665070.00000000012</v>
      </c>
      <c r="J655" s="22">
        <f ca="1">IF(Salary[[#This Row],[پایه حقوق]]&lt;=5600000,0,(Salary[[#This Row],[پایه حقوق]]-5600000)*0.1)</f>
        <v>390100</v>
      </c>
      <c r="K655" s="16">
        <f t="shared" ca="1" si="64"/>
        <v>8445830</v>
      </c>
    </row>
    <row r="656" spans="1:11">
      <c r="A656" s="1">
        <v>9990405</v>
      </c>
      <c r="B656" s="7">
        <f t="shared" ca="1" si="60"/>
        <v>61</v>
      </c>
      <c r="C656" s="7">
        <f>MATCH(Salary[[#This Row],[ماه]],Calc!$A$16:$A$27,0)</f>
        <v>11</v>
      </c>
      <c r="D656" s="8" t="s">
        <v>96</v>
      </c>
      <c r="E656" s="9">
        <f t="shared" ca="1" si="65"/>
        <v>5963000</v>
      </c>
      <c r="F656" s="9"/>
      <c r="G656" s="9">
        <f t="shared" ca="1" si="61"/>
        <v>5963000</v>
      </c>
      <c r="H656" s="9">
        <f t="shared" ca="1" si="62"/>
        <v>1371490</v>
      </c>
      <c r="I656" s="9">
        <f t="shared" ca="1" si="63"/>
        <v>417410.00000000006</v>
      </c>
      <c r="J656" s="22">
        <f ca="1">IF(Salary[[#This Row],[پایه حقوق]]&lt;=5600000,0,(Salary[[#This Row],[پایه حقوق]]-5600000)*0.1)</f>
        <v>36300</v>
      </c>
      <c r="K656" s="16">
        <f t="shared" ca="1" si="64"/>
        <v>5509290</v>
      </c>
    </row>
    <row r="657" spans="1:11">
      <c r="A657" s="1">
        <v>9990453</v>
      </c>
      <c r="B657" s="7">
        <f t="shared" ca="1" si="60"/>
        <v>67</v>
      </c>
      <c r="C657" s="7">
        <f>MATCH(Salary[[#This Row],[ماه]],Calc!$A$16:$A$27,0)</f>
        <v>11</v>
      </c>
      <c r="D657" s="8" t="s">
        <v>96</v>
      </c>
      <c r="E657" s="9">
        <f t="shared" ca="1" si="65"/>
        <v>6408000</v>
      </c>
      <c r="F657" s="9"/>
      <c r="G657" s="9">
        <f t="shared" ca="1" si="61"/>
        <v>6408000</v>
      </c>
      <c r="H657" s="9">
        <f t="shared" ca="1" si="62"/>
        <v>1473840</v>
      </c>
      <c r="I657" s="9">
        <f t="shared" ca="1" si="63"/>
        <v>448560.00000000006</v>
      </c>
      <c r="J657" s="22">
        <f ca="1">IF(Salary[[#This Row],[پایه حقوق]]&lt;=5600000,0,(Salary[[#This Row],[پایه حقوق]]-5600000)*0.1)</f>
        <v>80800</v>
      </c>
      <c r="K657" s="16">
        <f t="shared" ca="1" si="64"/>
        <v>5878640</v>
      </c>
    </row>
    <row r="658" spans="1:11">
      <c r="A658" s="1">
        <v>9990501</v>
      </c>
      <c r="B658" s="7">
        <f t="shared" ca="1" si="60"/>
        <v>100</v>
      </c>
      <c r="C658" s="7">
        <f>MATCH(Salary[[#This Row],[ماه]],Calc!$A$16:$A$27,0)</f>
        <v>11</v>
      </c>
      <c r="D658" s="8" t="s">
        <v>96</v>
      </c>
      <c r="E658" s="9">
        <f t="shared" ca="1" si="65"/>
        <v>12831000</v>
      </c>
      <c r="F658" s="9"/>
      <c r="G658" s="9">
        <f t="shared" ca="1" si="61"/>
        <v>12831000</v>
      </c>
      <c r="H658" s="9">
        <f t="shared" ca="1" si="62"/>
        <v>2951130</v>
      </c>
      <c r="I658" s="9">
        <f t="shared" ca="1" si="63"/>
        <v>898170.00000000012</v>
      </c>
      <c r="J658" s="22">
        <f ca="1">IF(Salary[[#This Row],[پایه حقوق]]&lt;=5600000,0,(Salary[[#This Row],[پایه حقوق]]-5600000)*0.1)</f>
        <v>723100</v>
      </c>
      <c r="K658" s="16">
        <f t="shared" ca="1" si="64"/>
        <v>11209730</v>
      </c>
    </row>
    <row r="659" spans="1:11">
      <c r="A659" s="1">
        <v>9990549</v>
      </c>
      <c r="B659" s="7">
        <f t="shared" ca="1" si="60"/>
        <v>92</v>
      </c>
      <c r="C659" s="7">
        <f>MATCH(Salary[[#This Row],[ماه]],Calc!$A$16:$A$27,0)</f>
        <v>11</v>
      </c>
      <c r="D659" s="8" t="s">
        <v>96</v>
      </c>
      <c r="E659" s="9">
        <f t="shared" ca="1" si="65"/>
        <v>12347000</v>
      </c>
      <c r="F659" s="9"/>
      <c r="G659" s="9">
        <f t="shared" ca="1" si="61"/>
        <v>12347000</v>
      </c>
      <c r="H659" s="9">
        <f t="shared" ca="1" si="62"/>
        <v>2839810</v>
      </c>
      <c r="I659" s="9">
        <f t="shared" ca="1" si="63"/>
        <v>864290.00000000012</v>
      </c>
      <c r="J659" s="22">
        <f ca="1">IF(Salary[[#This Row],[پایه حقوق]]&lt;=5600000,0,(Salary[[#This Row],[پایه حقوق]]-5600000)*0.1)</f>
        <v>674700</v>
      </c>
      <c r="K659" s="16">
        <f t="shared" ca="1" si="64"/>
        <v>10808010</v>
      </c>
    </row>
    <row r="660" spans="1:11">
      <c r="A660" s="1">
        <v>9990597</v>
      </c>
      <c r="B660" s="7">
        <f t="shared" ca="1" si="60"/>
        <v>32</v>
      </c>
      <c r="C660" s="7">
        <f>MATCH(Salary[[#This Row],[ماه]],Calc!$A$16:$A$27,0)</f>
        <v>11</v>
      </c>
      <c r="D660" s="8" t="s">
        <v>96</v>
      </c>
      <c r="E660" s="9">
        <f t="shared" ca="1" si="65"/>
        <v>8162000</v>
      </c>
      <c r="F660" s="9"/>
      <c r="G660" s="9">
        <f t="shared" ca="1" si="61"/>
        <v>8162000</v>
      </c>
      <c r="H660" s="9">
        <f t="shared" ca="1" si="62"/>
        <v>1877260</v>
      </c>
      <c r="I660" s="9">
        <f t="shared" ca="1" si="63"/>
        <v>571340</v>
      </c>
      <c r="J660" s="22">
        <f ca="1">IF(Salary[[#This Row],[پایه حقوق]]&lt;=5600000,0,(Salary[[#This Row],[پایه حقوق]]-5600000)*0.1)</f>
        <v>256200</v>
      </c>
      <c r="K660" s="16">
        <f t="shared" ca="1" si="64"/>
        <v>7334460</v>
      </c>
    </row>
    <row r="661" spans="1:11">
      <c r="A661" s="1">
        <v>9990645</v>
      </c>
      <c r="B661" s="7">
        <f t="shared" ca="1" si="60"/>
        <v>93</v>
      </c>
      <c r="C661" s="7">
        <f>MATCH(Salary[[#This Row],[ماه]],Calc!$A$16:$A$27,0)</f>
        <v>11</v>
      </c>
      <c r="D661" s="8" t="s">
        <v>96</v>
      </c>
      <c r="E661" s="9">
        <f t="shared" ca="1" si="65"/>
        <v>10444000</v>
      </c>
      <c r="F661" s="9"/>
      <c r="G661" s="9">
        <f t="shared" ca="1" si="61"/>
        <v>10444000</v>
      </c>
      <c r="H661" s="9">
        <f t="shared" ca="1" si="62"/>
        <v>2402120</v>
      </c>
      <c r="I661" s="9">
        <f t="shared" ca="1" si="63"/>
        <v>731080.00000000012</v>
      </c>
      <c r="J661" s="22">
        <f ca="1">IF(Salary[[#This Row],[پایه حقوق]]&lt;=5600000,0,(Salary[[#This Row],[پایه حقوق]]-5600000)*0.1)</f>
        <v>484400</v>
      </c>
      <c r="K661" s="16">
        <f t="shared" ca="1" si="64"/>
        <v>9228520</v>
      </c>
    </row>
    <row r="662" spans="1:11">
      <c r="A662" s="1">
        <v>9987656</v>
      </c>
      <c r="B662" s="7">
        <f t="shared" ca="1" si="60"/>
        <v>37</v>
      </c>
      <c r="C662" s="7">
        <f>MATCH(Salary[[#This Row],[ماه]],Calc!$A$16:$A$27,0)</f>
        <v>12</v>
      </c>
      <c r="D662" s="8" t="s">
        <v>97</v>
      </c>
      <c r="E662" s="9">
        <f t="shared" ca="1" si="65"/>
        <v>11824000</v>
      </c>
      <c r="F662" s="9">
        <f ca="1">0.7*E662</f>
        <v>8276799.9999999991</v>
      </c>
      <c r="G662" s="9">
        <f t="shared" ca="1" si="61"/>
        <v>20100800</v>
      </c>
      <c r="H662" s="9">
        <f t="shared" ca="1" si="62"/>
        <v>2719520</v>
      </c>
      <c r="I662" s="9">
        <f t="shared" ca="1" si="63"/>
        <v>827680.00000000012</v>
      </c>
      <c r="J662" s="22">
        <f ca="1">IF(Salary[[#This Row],[پایه حقوق]]&lt;=5600000,0,(Salary[[#This Row],[پایه حقوق]]-5600000)*0.1)</f>
        <v>622400</v>
      </c>
      <c r="K662" s="16">
        <f t="shared" ca="1" si="64"/>
        <v>18650720</v>
      </c>
    </row>
    <row r="663" spans="1:11">
      <c r="A663" s="1">
        <v>9987728</v>
      </c>
      <c r="B663" s="7">
        <f t="shared" ca="1" si="60"/>
        <v>42</v>
      </c>
      <c r="C663" s="7">
        <f>MATCH(Salary[[#This Row],[ماه]],Calc!$A$16:$A$27,0)</f>
        <v>12</v>
      </c>
      <c r="D663" s="8" t="s">
        <v>97</v>
      </c>
      <c r="E663" s="9">
        <f t="shared" ca="1" si="65"/>
        <v>3384000</v>
      </c>
      <c r="F663" s="9"/>
      <c r="G663" s="9">
        <f t="shared" ca="1" si="61"/>
        <v>3384000</v>
      </c>
      <c r="H663" s="9">
        <f t="shared" ca="1" si="62"/>
        <v>778320</v>
      </c>
      <c r="I663" s="9">
        <f t="shared" ca="1" si="63"/>
        <v>236880.00000000003</v>
      </c>
      <c r="J663" s="22">
        <f ca="1">IF(Salary[[#This Row],[پایه حقوق]]&lt;=5600000,0,(Salary[[#This Row],[پایه حقوق]]-5600000)*0.1)</f>
        <v>0</v>
      </c>
      <c r="K663" s="16">
        <f t="shared" ca="1" si="64"/>
        <v>3147120</v>
      </c>
    </row>
    <row r="664" spans="1:11">
      <c r="A664" s="1">
        <v>9987826</v>
      </c>
      <c r="B664" s="7">
        <f t="shared" ca="1" si="60"/>
        <v>50</v>
      </c>
      <c r="C664" s="7">
        <f>MATCH(Salary[[#This Row],[ماه]],Calc!$A$16:$A$27,0)</f>
        <v>12</v>
      </c>
      <c r="D664" s="8" t="s">
        <v>97</v>
      </c>
      <c r="E664" s="9">
        <f t="shared" ca="1" si="65"/>
        <v>3145000</v>
      </c>
      <c r="F664" s="9">
        <f ca="1">0.7*E664</f>
        <v>2201500</v>
      </c>
      <c r="G664" s="9">
        <f t="shared" ca="1" si="61"/>
        <v>5346500</v>
      </c>
      <c r="H664" s="9">
        <f t="shared" ca="1" si="62"/>
        <v>723350</v>
      </c>
      <c r="I664" s="9">
        <f t="shared" ca="1" si="63"/>
        <v>220150.00000000003</v>
      </c>
      <c r="J664" s="22">
        <f ca="1">IF(Salary[[#This Row],[پایه حقوق]]&lt;=5600000,0,(Salary[[#This Row],[پایه حقوق]]-5600000)*0.1)</f>
        <v>0</v>
      </c>
      <c r="K664" s="16">
        <f t="shared" ca="1" si="64"/>
        <v>5126350</v>
      </c>
    </row>
    <row r="665" spans="1:11">
      <c r="A665" s="1">
        <v>9987915</v>
      </c>
      <c r="B665" s="7">
        <f t="shared" ca="1" si="60"/>
        <v>41</v>
      </c>
      <c r="C665" s="7">
        <f>MATCH(Salary[[#This Row],[ماه]],Calc!$A$16:$A$27,0)</f>
        <v>12</v>
      </c>
      <c r="D665" s="8" t="s">
        <v>97</v>
      </c>
      <c r="E665" s="9">
        <f t="shared" ca="1" si="65"/>
        <v>13528000</v>
      </c>
      <c r="F665" s="9">
        <f ca="1">0.7*E665</f>
        <v>9469600</v>
      </c>
      <c r="G665" s="9">
        <f t="shared" ca="1" si="61"/>
        <v>22997600</v>
      </c>
      <c r="H665" s="9">
        <f t="shared" ca="1" si="62"/>
        <v>3111440</v>
      </c>
      <c r="I665" s="9">
        <f t="shared" ca="1" si="63"/>
        <v>946960.00000000012</v>
      </c>
      <c r="J665" s="22">
        <f ca="1">IF(Salary[[#This Row],[پایه حقوق]]&lt;=5600000,0,(Salary[[#This Row],[پایه حقوق]]-5600000)*0.1)</f>
        <v>792800</v>
      </c>
      <c r="K665" s="16">
        <f t="shared" ca="1" si="64"/>
        <v>21257840</v>
      </c>
    </row>
    <row r="666" spans="1:11">
      <c r="A666" s="1">
        <v>9987938</v>
      </c>
      <c r="B666" s="7">
        <f t="shared" ca="1" si="60"/>
        <v>41</v>
      </c>
      <c r="C666" s="7">
        <f>MATCH(Salary[[#This Row],[ماه]],Calc!$A$16:$A$27,0)</f>
        <v>12</v>
      </c>
      <c r="D666" s="8" t="s">
        <v>97</v>
      </c>
      <c r="E666" s="9">
        <f t="shared" ca="1" si="65"/>
        <v>6995000</v>
      </c>
      <c r="F666" s="9"/>
      <c r="G666" s="9">
        <f t="shared" ca="1" si="61"/>
        <v>6995000</v>
      </c>
      <c r="H666" s="9">
        <f t="shared" ca="1" si="62"/>
        <v>1608850</v>
      </c>
      <c r="I666" s="9">
        <f t="shared" ca="1" si="63"/>
        <v>489650.00000000006</v>
      </c>
      <c r="J666" s="22">
        <f ca="1">IF(Salary[[#This Row],[پایه حقوق]]&lt;=5600000,0,(Salary[[#This Row],[پایه حقوق]]-5600000)*0.1)</f>
        <v>139500</v>
      </c>
      <c r="K666" s="16">
        <f t="shared" ca="1" si="64"/>
        <v>6365850</v>
      </c>
    </row>
    <row r="667" spans="1:11">
      <c r="A667" s="1">
        <v>9988023</v>
      </c>
      <c r="B667" s="7">
        <f t="shared" ca="1" si="60"/>
        <v>60</v>
      </c>
      <c r="C667" s="7">
        <f>MATCH(Salary[[#This Row],[ماه]],Calc!$A$16:$A$27,0)</f>
        <v>12</v>
      </c>
      <c r="D667" s="8" t="s">
        <v>97</v>
      </c>
      <c r="E667" s="9">
        <f t="shared" ca="1" si="65"/>
        <v>14054000</v>
      </c>
      <c r="F667" s="9"/>
      <c r="G667" s="9">
        <f t="shared" ca="1" si="61"/>
        <v>14054000</v>
      </c>
      <c r="H667" s="9">
        <f t="shared" ca="1" si="62"/>
        <v>3232420</v>
      </c>
      <c r="I667" s="9">
        <f t="shared" ca="1" si="63"/>
        <v>983780.00000000012</v>
      </c>
      <c r="J667" s="22">
        <f ca="1">IF(Salary[[#This Row],[پایه حقوق]]&lt;=5600000,0,(Salary[[#This Row],[پایه حقوق]]-5600000)*0.1)</f>
        <v>845400</v>
      </c>
      <c r="K667" s="16">
        <f t="shared" ca="1" si="64"/>
        <v>12224820</v>
      </c>
    </row>
    <row r="668" spans="1:11">
      <c r="A668" s="1">
        <v>9988106</v>
      </c>
      <c r="B668" s="7">
        <f t="shared" ca="1" si="60"/>
        <v>97</v>
      </c>
      <c r="C668" s="7">
        <f>MATCH(Salary[[#This Row],[ماه]],Calc!$A$16:$A$27,0)</f>
        <v>12</v>
      </c>
      <c r="D668" s="8" t="s">
        <v>97</v>
      </c>
      <c r="E668" s="9">
        <f t="shared" ca="1" si="65"/>
        <v>5764000</v>
      </c>
      <c r="F668" s="9"/>
      <c r="G668" s="9">
        <f t="shared" ca="1" si="61"/>
        <v>5764000</v>
      </c>
      <c r="H668" s="9">
        <f t="shared" ca="1" si="62"/>
        <v>1325720</v>
      </c>
      <c r="I668" s="9">
        <f t="shared" ca="1" si="63"/>
        <v>403480.00000000006</v>
      </c>
      <c r="J668" s="22">
        <f ca="1">IF(Salary[[#This Row],[پایه حقوق]]&lt;=5600000,0,(Salary[[#This Row],[پایه حقوق]]-5600000)*0.1)</f>
        <v>16400</v>
      </c>
      <c r="K668" s="16">
        <f t="shared" ca="1" si="64"/>
        <v>5344120</v>
      </c>
    </row>
    <row r="669" spans="1:11">
      <c r="A669" s="1">
        <v>9988137</v>
      </c>
      <c r="B669" s="7">
        <f t="shared" ca="1" si="60"/>
        <v>38</v>
      </c>
      <c r="C669" s="7">
        <f>MATCH(Salary[[#This Row],[ماه]],Calc!$A$16:$A$27,0)</f>
        <v>12</v>
      </c>
      <c r="D669" s="8" t="s">
        <v>97</v>
      </c>
      <c r="E669" s="9">
        <f t="shared" ca="1" si="65"/>
        <v>3092000</v>
      </c>
      <c r="F669" s="9"/>
      <c r="G669" s="9">
        <f t="shared" ca="1" si="61"/>
        <v>3092000</v>
      </c>
      <c r="H669" s="9">
        <f t="shared" ca="1" si="62"/>
        <v>711160</v>
      </c>
      <c r="I669" s="9">
        <f t="shared" ca="1" si="63"/>
        <v>216440.00000000003</v>
      </c>
      <c r="J669" s="22">
        <f ca="1">IF(Salary[[#This Row],[پایه حقوق]]&lt;=5600000,0,(Salary[[#This Row],[پایه حقوق]]-5600000)*0.1)</f>
        <v>0</v>
      </c>
      <c r="K669" s="16">
        <f t="shared" ca="1" si="64"/>
        <v>2875560</v>
      </c>
    </row>
    <row r="670" spans="1:11">
      <c r="A670" s="1">
        <v>9988165</v>
      </c>
      <c r="B670" s="7">
        <f t="shared" ca="1" si="60"/>
        <v>62</v>
      </c>
      <c r="C670" s="7">
        <f>MATCH(Salary[[#This Row],[ماه]],Calc!$A$16:$A$27,0)</f>
        <v>12</v>
      </c>
      <c r="D670" s="8" t="s">
        <v>97</v>
      </c>
      <c r="E670" s="9">
        <f t="shared" ca="1" si="65"/>
        <v>6815000</v>
      </c>
      <c r="F670" s="9"/>
      <c r="G670" s="9">
        <f t="shared" ca="1" si="61"/>
        <v>6815000</v>
      </c>
      <c r="H670" s="9">
        <f t="shared" ca="1" si="62"/>
        <v>1567450</v>
      </c>
      <c r="I670" s="9">
        <f t="shared" ca="1" si="63"/>
        <v>477050.00000000006</v>
      </c>
      <c r="J670" s="22">
        <f ca="1">IF(Salary[[#This Row],[پایه حقوق]]&lt;=5600000,0,(Salary[[#This Row],[پایه حقوق]]-5600000)*0.1)</f>
        <v>121500</v>
      </c>
      <c r="K670" s="16">
        <f t="shared" ca="1" si="64"/>
        <v>6216450</v>
      </c>
    </row>
    <row r="671" spans="1:11">
      <c r="A671" s="1">
        <v>9988236</v>
      </c>
      <c r="B671" s="7">
        <f t="shared" ca="1" si="60"/>
        <v>82</v>
      </c>
      <c r="C671" s="7">
        <f>MATCH(Salary[[#This Row],[ماه]],Calc!$A$16:$A$27,0)</f>
        <v>12</v>
      </c>
      <c r="D671" s="8" t="s">
        <v>97</v>
      </c>
      <c r="E671" s="9">
        <f t="shared" ca="1" si="65"/>
        <v>6099000</v>
      </c>
      <c r="F671" s="9"/>
      <c r="G671" s="9">
        <f t="shared" ca="1" si="61"/>
        <v>6099000</v>
      </c>
      <c r="H671" s="9">
        <f t="shared" ca="1" si="62"/>
        <v>1402770</v>
      </c>
      <c r="I671" s="9">
        <f t="shared" ca="1" si="63"/>
        <v>426930.00000000006</v>
      </c>
      <c r="J671" s="22">
        <f ca="1">IF(Salary[[#This Row],[پایه حقوق]]&lt;=5600000,0,(Salary[[#This Row],[پایه حقوق]]-5600000)*0.1)</f>
        <v>49900</v>
      </c>
      <c r="K671" s="16">
        <f t="shared" ca="1" si="64"/>
        <v>5622170</v>
      </c>
    </row>
    <row r="672" spans="1:11">
      <c r="A672" s="1">
        <v>9988277</v>
      </c>
      <c r="B672" s="7">
        <f t="shared" ca="1" si="60"/>
        <v>69</v>
      </c>
      <c r="C672" s="7">
        <f>MATCH(Salary[[#This Row],[ماه]],Calc!$A$16:$A$27,0)</f>
        <v>12</v>
      </c>
      <c r="D672" s="8" t="s">
        <v>97</v>
      </c>
      <c r="E672" s="9">
        <f t="shared" ca="1" si="65"/>
        <v>4537000</v>
      </c>
      <c r="F672" s="9"/>
      <c r="G672" s="9">
        <f t="shared" ca="1" si="61"/>
        <v>4537000</v>
      </c>
      <c r="H672" s="9">
        <f t="shared" ca="1" si="62"/>
        <v>1043510</v>
      </c>
      <c r="I672" s="9">
        <f t="shared" ca="1" si="63"/>
        <v>317590.00000000006</v>
      </c>
      <c r="J672" s="22">
        <f ca="1">IF(Salary[[#This Row],[پایه حقوق]]&lt;=5600000,0,(Salary[[#This Row],[پایه حقوق]]-5600000)*0.1)</f>
        <v>0</v>
      </c>
      <c r="K672" s="16">
        <f t="shared" ca="1" si="64"/>
        <v>4219410</v>
      </c>
    </row>
    <row r="673" spans="1:11">
      <c r="A673" s="1">
        <v>9988371</v>
      </c>
      <c r="B673" s="7">
        <f t="shared" ca="1" si="60"/>
        <v>54</v>
      </c>
      <c r="C673" s="7">
        <f>MATCH(Salary[[#This Row],[ماه]],Calc!$A$16:$A$27,0)</f>
        <v>12</v>
      </c>
      <c r="D673" s="8" t="s">
        <v>97</v>
      </c>
      <c r="E673" s="9">
        <f t="shared" ca="1" si="65"/>
        <v>7354000</v>
      </c>
      <c r="F673" s="9"/>
      <c r="G673" s="9">
        <f t="shared" ca="1" si="61"/>
        <v>7354000</v>
      </c>
      <c r="H673" s="9">
        <f t="shared" ca="1" si="62"/>
        <v>1691420</v>
      </c>
      <c r="I673" s="9">
        <f t="shared" ca="1" si="63"/>
        <v>514780.00000000006</v>
      </c>
      <c r="J673" s="22">
        <f ca="1">IF(Salary[[#This Row],[پایه حقوق]]&lt;=5600000,0,(Salary[[#This Row],[پایه حقوق]]-5600000)*0.1)</f>
        <v>175400</v>
      </c>
      <c r="K673" s="16">
        <f t="shared" ca="1" si="64"/>
        <v>6663820</v>
      </c>
    </row>
    <row r="674" spans="1:11">
      <c r="A674" s="1">
        <v>9988393</v>
      </c>
      <c r="B674" s="7">
        <f t="shared" ca="1" si="60"/>
        <v>90</v>
      </c>
      <c r="C674" s="7">
        <f>MATCH(Salary[[#This Row],[ماه]],Calc!$A$16:$A$27,0)</f>
        <v>12</v>
      </c>
      <c r="D674" s="8" t="s">
        <v>97</v>
      </c>
      <c r="E674" s="9">
        <f t="shared" ca="1" si="65"/>
        <v>5300000</v>
      </c>
      <c r="F674" s="9"/>
      <c r="G674" s="9">
        <f t="shared" ca="1" si="61"/>
        <v>5300000</v>
      </c>
      <c r="H674" s="9">
        <f t="shared" ca="1" si="62"/>
        <v>1219000</v>
      </c>
      <c r="I674" s="9">
        <f t="shared" ca="1" si="63"/>
        <v>371000.00000000006</v>
      </c>
      <c r="J674" s="22">
        <f ca="1">IF(Salary[[#This Row],[پایه حقوق]]&lt;=5600000,0,(Salary[[#This Row],[پایه حقوق]]-5600000)*0.1)</f>
        <v>0</v>
      </c>
      <c r="K674" s="16">
        <f t="shared" ca="1" si="64"/>
        <v>4929000</v>
      </c>
    </row>
    <row r="675" spans="1:11">
      <c r="A675" s="1">
        <v>9988453</v>
      </c>
      <c r="B675" s="7">
        <f t="shared" ca="1" si="60"/>
        <v>52</v>
      </c>
      <c r="C675" s="7">
        <f>MATCH(Salary[[#This Row],[ماه]],Calc!$A$16:$A$27,0)</f>
        <v>12</v>
      </c>
      <c r="D675" s="8" t="s">
        <v>97</v>
      </c>
      <c r="E675" s="9">
        <f t="shared" ca="1" si="65"/>
        <v>7898000</v>
      </c>
      <c r="F675" s="9">
        <f ca="1">0.7*E675</f>
        <v>5528600</v>
      </c>
      <c r="G675" s="9">
        <f t="shared" ca="1" si="61"/>
        <v>13426600</v>
      </c>
      <c r="H675" s="9">
        <f t="shared" ca="1" si="62"/>
        <v>1816540</v>
      </c>
      <c r="I675" s="9">
        <f t="shared" ca="1" si="63"/>
        <v>552860</v>
      </c>
      <c r="J675" s="22">
        <f ca="1">IF(Salary[[#This Row],[پایه حقوق]]&lt;=5600000,0,(Salary[[#This Row],[پایه حقوق]]-5600000)*0.1)</f>
        <v>229800</v>
      </c>
      <c r="K675" s="16">
        <f t="shared" ca="1" si="64"/>
        <v>12643940</v>
      </c>
    </row>
    <row r="676" spans="1:11">
      <c r="A676" s="1">
        <v>9988492</v>
      </c>
      <c r="B676" s="7">
        <f t="shared" ca="1" si="60"/>
        <v>50</v>
      </c>
      <c r="C676" s="7">
        <f>MATCH(Salary[[#This Row],[ماه]],Calc!$A$16:$A$27,0)</f>
        <v>12</v>
      </c>
      <c r="D676" s="8" t="s">
        <v>97</v>
      </c>
      <c r="E676" s="9">
        <f t="shared" ca="1" si="65"/>
        <v>13291000</v>
      </c>
      <c r="F676" s="9"/>
      <c r="G676" s="9">
        <f t="shared" ca="1" si="61"/>
        <v>13291000</v>
      </c>
      <c r="H676" s="9">
        <f t="shared" ca="1" si="62"/>
        <v>3056930</v>
      </c>
      <c r="I676" s="9">
        <f t="shared" ca="1" si="63"/>
        <v>930370.00000000012</v>
      </c>
      <c r="J676" s="22">
        <f ca="1">IF(Salary[[#This Row],[پایه حقوق]]&lt;=5600000,0,(Salary[[#This Row],[پایه حقوق]]-5600000)*0.1)</f>
        <v>769100</v>
      </c>
      <c r="K676" s="16">
        <f t="shared" ca="1" si="64"/>
        <v>11591530</v>
      </c>
    </row>
    <row r="677" spans="1:11">
      <c r="A677" s="1">
        <v>9988572</v>
      </c>
      <c r="B677" s="7">
        <f t="shared" ca="1" si="60"/>
        <v>96</v>
      </c>
      <c r="C677" s="7">
        <f>MATCH(Salary[[#This Row],[ماه]],Calc!$A$16:$A$27,0)</f>
        <v>12</v>
      </c>
      <c r="D677" s="8" t="s">
        <v>97</v>
      </c>
      <c r="E677" s="9">
        <f t="shared" ca="1" si="65"/>
        <v>14387000</v>
      </c>
      <c r="F677" s="9"/>
      <c r="G677" s="9">
        <f t="shared" ca="1" si="61"/>
        <v>14387000</v>
      </c>
      <c r="H677" s="9">
        <f t="shared" ca="1" si="62"/>
        <v>3309010</v>
      </c>
      <c r="I677" s="9">
        <f t="shared" ca="1" si="63"/>
        <v>1007090.0000000001</v>
      </c>
      <c r="J677" s="22">
        <f ca="1">IF(Salary[[#This Row],[پایه حقوق]]&lt;=5600000,0,(Salary[[#This Row],[پایه حقوق]]-5600000)*0.1)</f>
        <v>878700</v>
      </c>
      <c r="K677" s="16">
        <f t="shared" ca="1" si="64"/>
        <v>12501210</v>
      </c>
    </row>
    <row r="678" spans="1:11">
      <c r="A678" s="1">
        <v>9988618</v>
      </c>
      <c r="B678" s="7">
        <f t="shared" ca="1" si="60"/>
        <v>62</v>
      </c>
      <c r="C678" s="7">
        <f>MATCH(Salary[[#This Row],[ماه]],Calc!$A$16:$A$27,0)</f>
        <v>12</v>
      </c>
      <c r="D678" s="8" t="s">
        <v>97</v>
      </c>
      <c r="E678" s="9">
        <f t="shared" ca="1" si="65"/>
        <v>10513000</v>
      </c>
      <c r="F678" s="9"/>
      <c r="G678" s="9">
        <f t="shared" ca="1" si="61"/>
        <v>10513000</v>
      </c>
      <c r="H678" s="9">
        <f t="shared" ca="1" si="62"/>
        <v>2417990</v>
      </c>
      <c r="I678" s="9">
        <f t="shared" ca="1" si="63"/>
        <v>735910.00000000012</v>
      </c>
      <c r="J678" s="22">
        <f ca="1">IF(Salary[[#This Row],[پایه حقوق]]&lt;=5600000,0,(Salary[[#This Row],[پایه حقوق]]-5600000)*0.1)</f>
        <v>491300</v>
      </c>
      <c r="K678" s="16">
        <f t="shared" ca="1" si="64"/>
        <v>9285790</v>
      </c>
    </row>
    <row r="679" spans="1:11">
      <c r="A679" s="1">
        <v>9988657</v>
      </c>
      <c r="B679" s="7">
        <f t="shared" ca="1" si="60"/>
        <v>48</v>
      </c>
      <c r="C679" s="7">
        <f>MATCH(Salary[[#This Row],[ماه]],Calc!$A$16:$A$27,0)</f>
        <v>12</v>
      </c>
      <c r="D679" s="8" t="s">
        <v>97</v>
      </c>
      <c r="E679" s="9">
        <f t="shared" ca="1" si="65"/>
        <v>13743000</v>
      </c>
      <c r="F679" s="9"/>
      <c r="G679" s="9">
        <f t="shared" ca="1" si="61"/>
        <v>13743000</v>
      </c>
      <c r="H679" s="9">
        <f t="shared" ca="1" si="62"/>
        <v>3160890</v>
      </c>
      <c r="I679" s="9">
        <f t="shared" ca="1" si="63"/>
        <v>962010.00000000012</v>
      </c>
      <c r="J679" s="22">
        <f ca="1">IF(Salary[[#This Row],[پایه حقوق]]&lt;=5600000,0,(Salary[[#This Row],[پایه حقوق]]-5600000)*0.1)</f>
        <v>814300</v>
      </c>
      <c r="K679" s="16">
        <f t="shared" ca="1" si="64"/>
        <v>11966690</v>
      </c>
    </row>
    <row r="680" spans="1:11">
      <c r="A680" s="1">
        <v>9988677</v>
      </c>
      <c r="B680" s="7">
        <f t="shared" ca="1" si="60"/>
        <v>51</v>
      </c>
      <c r="C680" s="7">
        <f>MATCH(Salary[[#This Row],[ماه]],Calc!$A$16:$A$27,0)</f>
        <v>12</v>
      </c>
      <c r="D680" s="8" t="s">
        <v>97</v>
      </c>
      <c r="E680" s="9">
        <f t="shared" ca="1" si="65"/>
        <v>13308000</v>
      </c>
      <c r="F680" s="9"/>
      <c r="G680" s="9">
        <f t="shared" ca="1" si="61"/>
        <v>13308000</v>
      </c>
      <c r="H680" s="9">
        <f t="shared" ca="1" si="62"/>
        <v>3060840</v>
      </c>
      <c r="I680" s="9">
        <f t="shared" ca="1" si="63"/>
        <v>931560.00000000012</v>
      </c>
      <c r="J680" s="22">
        <f ca="1">IF(Salary[[#This Row],[پایه حقوق]]&lt;=5600000,0,(Salary[[#This Row],[پایه حقوق]]-5600000)*0.1)</f>
        <v>770800</v>
      </c>
      <c r="K680" s="16">
        <f t="shared" ca="1" si="64"/>
        <v>11605640</v>
      </c>
    </row>
    <row r="681" spans="1:11">
      <c r="A681" s="1">
        <v>9988725</v>
      </c>
      <c r="B681" s="7">
        <f t="shared" ca="1" si="60"/>
        <v>87</v>
      </c>
      <c r="C681" s="7">
        <f>MATCH(Salary[[#This Row],[ماه]],Calc!$A$16:$A$27,0)</f>
        <v>12</v>
      </c>
      <c r="D681" s="8" t="s">
        <v>97</v>
      </c>
      <c r="E681" s="9">
        <f t="shared" ca="1" si="65"/>
        <v>12260000</v>
      </c>
      <c r="F681" s="9"/>
      <c r="G681" s="9">
        <f t="shared" ca="1" si="61"/>
        <v>12260000</v>
      </c>
      <c r="H681" s="9">
        <f t="shared" ca="1" si="62"/>
        <v>2819800</v>
      </c>
      <c r="I681" s="9">
        <f t="shared" ca="1" si="63"/>
        <v>858200.00000000012</v>
      </c>
      <c r="J681" s="22">
        <f ca="1">IF(Salary[[#This Row],[پایه حقوق]]&lt;=5600000,0,(Salary[[#This Row],[پایه حقوق]]-5600000)*0.1)</f>
        <v>666000</v>
      </c>
      <c r="K681" s="16">
        <f t="shared" ca="1" si="64"/>
        <v>10735800</v>
      </c>
    </row>
    <row r="682" spans="1:11">
      <c r="A682" s="1">
        <v>9988773</v>
      </c>
      <c r="B682" s="7">
        <f t="shared" ca="1" si="60"/>
        <v>31</v>
      </c>
      <c r="C682" s="7">
        <f>MATCH(Salary[[#This Row],[ماه]],Calc!$A$16:$A$27,0)</f>
        <v>12</v>
      </c>
      <c r="D682" s="8" t="s">
        <v>97</v>
      </c>
      <c r="E682" s="9">
        <f t="shared" ca="1" si="65"/>
        <v>14558000</v>
      </c>
      <c r="F682" s="9"/>
      <c r="G682" s="9">
        <f t="shared" ca="1" si="61"/>
        <v>14558000</v>
      </c>
      <c r="H682" s="9">
        <f t="shared" ca="1" si="62"/>
        <v>3348340</v>
      </c>
      <c r="I682" s="9">
        <f t="shared" ca="1" si="63"/>
        <v>1019060.0000000001</v>
      </c>
      <c r="J682" s="22">
        <f ca="1">IF(Salary[[#This Row],[پایه حقوق]]&lt;=5600000,0,(Salary[[#This Row],[پایه حقوق]]-5600000)*0.1)</f>
        <v>895800</v>
      </c>
      <c r="K682" s="16">
        <f t="shared" ca="1" si="64"/>
        <v>12643140</v>
      </c>
    </row>
    <row r="683" spans="1:11">
      <c r="A683" s="1">
        <v>9988821</v>
      </c>
      <c r="B683" s="7">
        <f t="shared" ca="1" si="60"/>
        <v>58</v>
      </c>
      <c r="C683" s="7">
        <f>MATCH(Salary[[#This Row],[ماه]],Calc!$A$16:$A$27,0)</f>
        <v>12</v>
      </c>
      <c r="D683" s="8" t="s">
        <v>97</v>
      </c>
      <c r="E683" s="9">
        <f t="shared" ca="1" si="65"/>
        <v>13896000</v>
      </c>
      <c r="F683" s="9"/>
      <c r="G683" s="9">
        <f t="shared" ca="1" si="61"/>
        <v>13896000</v>
      </c>
      <c r="H683" s="9">
        <f t="shared" ca="1" si="62"/>
        <v>3196080</v>
      </c>
      <c r="I683" s="9">
        <f t="shared" ca="1" si="63"/>
        <v>972720.00000000012</v>
      </c>
      <c r="J683" s="22">
        <f ca="1">IF(Salary[[#This Row],[پایه حقوق]]&lt;=5600000,0,(Salary[[#This Row],[پایه حقوق]]-5600000)*0.1)</f>
        <v>829600</v>
      </c>
      <c r="K683" s="16">
        <f t="shared" ca="1" si="64"/>
        <v>12093680</v>
      </c>
    </row>
    <row r="684" spans="1:11">
      <c r="A684" s="1">
        <v>9988869</v>
      </c>
      <c r="B684" s="7">
        <f t="shared" ca="1" si="60"/>
        <v>43</v>
      </c>
      <c r="C684" s="7">
        <f>MATCH(Salary[[#This Row],[ماه]],Calc!$A$16:$A$27,0)</f>
        <v>12</v>
      </c>
      <c r="D684" s="8" t="s">
        <v>97</v>
      </c>
      <c r="E684" s="9">
        <f t="shared" ca="1" si="65"/>
        <v>6528000</v>
      </c>
      <c r="F684" s="9"/>
      <c r="G684" s="9">
        <f t="shared" ca="1" si="61"/>
        <v>6528000</v>
      </c>
      <c r="H684" s="9">
        <f t="shared" ca="1" si="62"/>
        <v>1501440</v>
      </c>
      <c r="I684" s="9">
        <f t="shared" ca="1" si="63"/>
        <v>456960.00000000006</v>
      </c>
      <c r="J684" s="22">
        <f ca="1">IF(Salary[[#This Row],[پایه حقوق]]&lt;=5600000,0,(Salary[[#This Row],[پایه حقوق]]-5600000)*0.1)</f>
        <v>92800</v>
      </c>
      <c r="K684" s="16">
        <f t="shared" ca="1" si="64"/>
        <v>5978240</v>
      </c>
    </row>
    <row r="685" spans="1:11">
      <c r="A685" s="1">
        <v>9988917</v>
      </c>
      <c r="B685" s="7">
        <f t="shared" ca="1" si="60"/>
        <v>38</v>
      </c>
      <c r="C685" s="7">
        <f>MATCH(Salary[[#This Row],[ماه]],Calc!$A$16:$A$27,0)</f>
        <v>12</v>
      </c>
      <c r="D685" s="8" t="s">
        <v>97</v>
      </c>
      <c r="E685" s="9">
        <f t="shared" ca="1" si="65"/>
        <v>6255000</v>
      </c>
      <c r="F685" s="9"/>
      <c r="G685" s="9">
        <f t="shared" ca="1" si="61"/>
        <v>6255000</v>
      </c>
      <c r="H685" s="9">
        <f t="shared" ca="1" si="62"/>
        <v>1438650</v>
      </c>
      <c r="I685" s="9">
        <f t="shared" ca="1" si="63"/>
        <v>437850.00000000006</v>
      </c>
      <c r="J685" s="22">
        <f ca="1">IF(Salary[[#This Row],[پایه حقوق]]&lt;=5600000,0,(Salary[[#This Row],[پایه حقوق]]-5600000)*0.1)</f>
        <v>65500</v>
      </c>
      <c r="K685" s="16">
        <f t="shared" ca="1" si="64"/>
        <v>5751650</v>
      </c>
    </row>
    <row r="686" spans="1:11">
      <c r="A686" s="1">
        <v>9988965</v>
      </c>
      <c r="B686" s="7">
        <f t="shared" ca="1" si="60"/>
        <v>84</v>
      </c>
      <c r="C686" s="7">
        <f>MATCH(Salary[[#This Row],[ماه]],Calc!$A$16:$A$27,0)</f>
        <v>12</v>
      </c>
      <c r="D686" s="8" t="s">
        <v>97</v>
      </c>
      <c r="E686" s="9">
        <f t="shared" ca="1" si="65"/>
        <v>13387000</v>
      </c>
      <c r="F686" s="9"/>
      <c r="G686" s="9">
        <f t="shared" ca="1" si="61"/>
        <v>13387000</v>
      </c>
      <c r="H686" s="9">
        <f t="shared" ca="1" si="62"/>
        <v>3079010</v>
      </c>
      <c r="I686" s="9">
        <f t="shared" ca="1" si="63"/>
        <v>937090.00000000012</v>
      </c>
      <c r="J686" s="22">
        <f ca="1">IF(Salary[[#This Row],[پایه حقوق]]&lt;=5600000,0,(Salary[[#This Row],[پایه حقوق]]-5600000)*0.1)</f>
        <v>778700</v>
      </c>
      <c r="K686" s="16">
        <f t="shared" ca="1" si="64"/>
        <v>11671210</v>
      </c>
    </row>
    <row r="687" spans="1:11">
      <c r="A687" s="1">
        <v>9989013</v>
      </c>
      <c r="B687" s="7">
        <f t="shared" ca="1" si="60"/>
        <v>39</v>
      </c>
      <c r="C687" s="7">
        <f>MATCH(Salary[[#This Row],[ماه]],Calc!$A$16:$A$27,0)</f>
        <v>12</v>
      </c>
      <c r="D687" s="8" t="s">
        <v>97</v>
      </c>
      <c r="E687" s="9">
        <f t="shared" ca="1" si="65"/>
        <v>10602000</v>
      </c>
      <c r="F687" s="9"/>
      <c r="G687" s="9">
        <f t="shared" ca="1" si="61"/>
        <v>10602000</v>
      </c>
      <c r="H687" s="9">
        <f t="shared" ca="1" si="62"/>
        <v>2438460</v>
      </c>
      <c r="I687" s="9">
        <f t="shared" ca="1" si="63"/>
        <v>742140.00000000012</v>
      </c>
      <c r="J687" s="22">
        <f ca="1">IF(Salary[[#This Row],[پایه حقوق]]&lt;=5600000,0,(Salary[[#This Row],[پایه حقوق]]-5600000)*0.1)</f>
        <v>500200</v>
      </c>
      <c r="K687" s="16">
        <f t="shared" ca="1" si="64"/>
        <v>9359660</v>
      </c>
    </row>
    <row r="688" spans="1:11">
      <c r="A688" s="1">
        <v>9989061</v>
      </c>
      <c r="B688" s="7">
        <f t="shared" ca="1" si="60"/>
        <v>65</v>
      </c>
      <c r="C688" s="7">
        <f>MATCH(Salary[[#This Row],[ماه]],Calc!$A$16:$A$27,0)</f>
        <v>12</v>
      </c>
      <c r="D688" s="8" t="s">
        <v>97</v>
      </c>
      <c r="E688" s="9">
        <f t="shared" ca="1" si="65"/>
        <v>11480000</v>
      </c>
      <c r="F688" s="9"/>
      <c r="G688" s="9">
        <f t="shared" ca="1" si="61"/>
        <v>11480000</v>
      </c>
      <c r="H688" s="9">
        <f t="shared" ca="1" si="62"/>
        <v>2640400</v>
      </c>
      <c r="I688" s="9">
        <f t="shared" ca="1" si="63"/>
        <v>803600.00000000012</v>
      </c>
      <c r="J688" s="22">
        <f ca="1">IF(Salary[[#This Row],[پایه حقوق]]&lt;=5600000,0,(Salary[[#This Row],[پایه حقوق]]-5600000)*0.1)</f>
        <v>588000</v>
      </c>
      <c r="K688" s="16">
        <f t="shared" ca="1" si="64"/>
        <v>10088400</v>
      </c>
    </row>
    <row r="689" spans="1:11">
      <c r="A689" s="1">
        <v>9989109</v>
      </c>
      <c r="B689" s="7">
        <f t="shared" ca="1" si="60"/>
        <v>75</v>
      </c>
      <c r="C689" s="7">
        <f>MATCH(Salary[[#This Row],[ماه]],Calc!$A$16:$A$27,0)</f>
        <v>12</v>
      </c>
      <c r="D689" s="8" t="s">
        <v>97</v>
      </c>
      <c r="E689" s="9">
        <f t="shared" ca="1" si="65"/>
        <v>6663000</v>
      </c>
      <c r="F689" s="9"/>
      <c r="G689" s="9">
        <f t="shared" ca="1" si="61"/>
        <v>6663000</v>
      </c>
      <c r="H689" s="9">
        <f t="shared" ca="1" si="62"/>
        <v>1532490</v>
      </c>
      <c r="I689" s="9">
        <f t="shared" ca="1" si="63"/>
        <v>466410.00000000006</v>
      </c>
      <c r="J689" s="22">
        <f ca="1">IF(Salary[[#This Row],[پایه حقوق]]&lt;=5600000,0,(Salary[[#This Row],[پایه حقوق]]-5600000)*0.1)</f>
        <v>106300</v>
      </c>
      <c r="K689" s="16">
        <f t="shared" ca="1" si="64"/>
        <v>6090290</v>
      </c>
    </row>
    <row r="690" spans="1:11">
      <c r="A690" s="1">
        <v>9989157</v>
      </c>
      <c r="B690" s="7">
        <f t="shared" ca="1" si="60"/>
        <v>41</v>
      </c>
      <c r="C690" s="7">
        <f>MATCH(Salary[[#This Row],[ماه]],Calc!$A$16:$A$27,0)</f>
        <v>12</v>
      </c>
      <c r="D690" s="8" t="s">
        <v>97</v>
      </c>
      <c r="E690" s="9">
        <f t="shared" ca="1" si="65"/>
        <v>4809000</v>
      </c>
      <c r="F690" s="9"/>
      <c r="G690" s="9">
        <f t="shared" ca="1" si="61"/>
        <v>4809000</v>
      </c>
      <c r="H690" s="9">
        <f t="shared" ca="1" si="62"/>
        <v>1106070</v>
      </c>
      <c r="I690" s="9">
        <f t="shared" ca="1" si="63"/>
        <v>336630.00000000006</v>
      </c>
      <c r="J690" s="22">
        <f ca="1">IF(Salary[[#This Row],[پایه حقوق]]&lt;=5600000,0,(Salary[[#This Row],[پایه حقوق]]-5600000)*0.1)</f>
        <v>0</v>
      </c>
      <c r="K690" s="16">
        <f t="shared" ca="1" si="64"/>
        <v>4472370</v>
      </c>
    </row>
    <row r="691" spans="1:11">
      <c r="A691" s="1">
        <v>9989205</v>
      </c>
      <c r="B691" s="7">
        <f t="shared" ca="1" si="60"/>
        <v>40</v>
      </c>
      <c r="C691" s="7">
        <f>MATCH(Salary[[#This Row],[ماه]],Calc!$A$16:$A$27,0)</f>
        <v>12</v>
      </c>
      <c r="D691" s="8" t="s">
        <v>97</v>
      </c>
      <c r="E691" s="9">
        <f t="shared" ca="1" si="65"/>
        <v>12553000</v>
      </c>
      <c r="F691" s="9"/>
      <c r="G691" s="9">
        <f t="shared" ca="1" si="61"/>
        <v>12553000</v>
      </c>
      <c r="H691" s="9">
        <f t="shared" ca="1" si="62"/>
        <v>2887190</v>
      </c>
      <c r="I691" s="9">
        <f t="shared" ca="1" si="63"/>
        <v>878710.00000000012</v>
      </c>
      <c r="J691" s="22">
        <f ca="1">IF(Salary[[#This Row],[پایه حقوق]]&lt;=5600000,0,(Salary[[#This Row],[پایه حقوق]]-5600000)*0.1)</f>
        <v>695300</v>
      </c>
      <c r="K691" s="16">
        <f t="shared" ca="1" si="64"/>
        <v>10978990</v>
      </c>
    </row>
    <row r="692" spans="1:11">
      <c r="A692" s="1">
        <v>9989253</v>
      </c>
      <c r="B692" s="7">
        <f t="shared" ca="1" si="60"/>
        <v>35</v>
      </c>
      <c r="C692" s="7">
        <f>MATCH(Salary[[#This Row],[ماه]],Calc!$A$16:$A$27,0)</f>
        <v>12</v>
      </c>
      <c r="D692" s="8" t="s">
        <v>97</v>
      </c>
      <c r="E692" s="9">
        <f t="shared" ca="1" si="65"/>
        <v>6134000</v>
      </c>
      <c r="F692" s="9"/>
      <c r="G692" s="9">
        <f t="shared" ca="1" si="61"/>
        <v>6134000</v>
      </c>
      <c r="H692" s="9">
        <f t="shared" ca="1" si="62"/>
        <v>1410820</v>
      </c>
      <c r="I692" s="9">
        <f t="shared" ca="1" si="63"/>
        <v>429380.00000000006</v>
      </c>
      <c r="J692" s="22">
        <f ca="1">IF(Salary[[#This Row],[پایه حقوق]]&lt;=5600000,0,(Salary[[#This Row],[پایه حقوق]]-5600000)*0.1)</f>
        <v>53400</v>
      </c>
      <c r="K692" s="16">
        <f t="shared" ca="1" si="64"/>
        <v>5651220</v>
      </c>
    </row>
    <row r="693" spans="1:11">
      <c r="A693" s="1">
        <v>9989301</v>
      </c>
      <c r="B693" s="7">
        <f t="shared" ca="1" si="60"/>
        <v>83</v>
      </c>
      <c r="C693" s="7">
        <f>MATCH(Salary[[#This Row],[ماه]],Calc!$A$16:$A$27,0)</f>
        <v>12</v>
      </c>
      <c r="D693" s="8" t="s">
        <v>97</v>
      </c>
      <c r="E693" s="9">
        <f t="shared" ca="1" si="65"/>
        <v>8008000</v>
      </c>
      <c r="F693" s="9"/>
      <c r="G693" s="9">
        <f t="shared" ca="1" si="61"/>
        <v>8008000</v>
      </c>
      <c r="H693" s="9">
        <f t="shared" ca="1" si="62"/>
        <v>1841840</v>
      </c>
      <c r="I693" s="9">
        <f t="shared" ca="1" si="63"/>
        <v>560560</v>
      </c>
      <c r="J693" s="22">
        <f ca="1">IF(Salary[[#This Row],[پایه حقوق]]&lt;=5600000,0,(Salary[[#This Row],[پایه حقوق]]-5600000)*0.1)</f>
        <v>240800</v>
      </c>
      <c r="K693" s="16">
        <f t="shared" ca="1" si="64"/>
        <v>7206640</v>
      </c>
    </row>
    <row r="694" spans="1:11">
      <c r="A694" s="1">
        <v>9989349</v>
      </c>
      <c r="B694" s="7">
        <f t="shared" ca="1" si="60"/>
        <v>87</v>
      </c>
      <c r="C694" s="7">
        <f>MATCH(Salary[[#This Row],[ماه]],Calc!$A$16:$A$27,0)</f>
        <v>12</v>
      </c>
      <c r="D694" s="8" t="s">
        <v>97</v>
      </c>
      <c r="E694" s="9">
        <f t="shared" ca="1" si="65"/>
        <v>11839000</v>
      </c>
      <c r="F694" s="9"/>
      <c r="G694" s="9">
        <f t="shared" ca="1" si="61"/>
        <v>11839000</v>
      </c>
      <c r="H694" s="9">
        <f t="shared" ca="1" si="62"/>
        <v>2722970</v>
      </c>
      <c r="I694" s="9">
        <f t="shared" ca="1" si="63"/>
        <v>828730.00000000012</v>
      </c>
      <c r="J694" s="22">
        <f ca="1">IF(Salary[[#This Row],[پایه حقوق]]&lt;=5600000,0,(Salary[[#This Row],[پایه حقوق]]-5600000)*0.1)</f>
        <v>623900</v>
      </c>
      <c r="K694" s="16">
        <f t="shared" ca="1" si="64"/>
        <v>10386370</v>
      </c>
    </row>
    <row r="695" spans="1:11">
      <c r="A695" s="1">
        <v>9989397</v>
      </c>
      <c r="B695" s="7">
        <f t="shared" ca="1" si="60"/>
        <v>51</v>
      </c>
      <c r="C695" s="7">
        <f>MATCH(Salary[[#This Row],[ماه]],Calc!$A$16:$A$27,0)</f>
        <v>12</v>
      </c>
      <c r="D695" s="8" t="s">
        <v>97</v>
      </c>
      <c r="E695" s="9">
        <f t="shared" ca="1" si="65"/>
        <v>7872000</v>
      </c>
      <c r="F695" s="9"/>
      <c r="G695" s="9">
        <f t="shared" ca="1" si="61"/>
        <v>7872000</v>
      </c>
      <c r="H695" s="9">
        <f t="shared" ca="1" si="62"/>
        <v>1810560</v>
      </c>
      <c r="I695" s="9">
        <f t="shared" ca="1" si="63"/>
        <v>551040</v>
      </c>
      <c r="J695" s="22">
        <f ca="1">IF(Salary[[#This Row],[پایه حقوق]]&lt;=5600000,0,(Salary[[#This Row],[پایه حقوق]]-5600000)*0.1)</f>
        <v>227200</v>
      </c>
      <c r="K695" s="16">
        <f t="shared" ca="1" si="64"/>
        <v>7093760</v>
      </c>
    </row>
    <row r="696" spans="1:11">
      <c r="A696" s="1">
        <v>9989445</v>
      </c>
      <c r="B696" s="7">
        <f t="shared" ca="1" si="60"/>
        <v>85</v>
      </c>
      <c r="C696" s="7">
        <f>MATCH(Salary[[#This Row],[ماه]],Calc!$A$16:$A$27,0)</f>
        <v>12</v>
      </c>
      <c r="D696" s="8" t="s">
        <v>97</v>
      </c>
      <c r="E696" s="9">
        <f t="shared" ca="1" si="65"/>
        <v>8876000</v>
      </c>
      <c r="F696" s="9"/>
      <c r="G696" s="9">
        <f t="shared" ca="1" si="61"/>
        <v>8876000</v>
      </c>
      <c r="H696" s="9">
        <f t="shared" ca="1" si="62"/>
        <v>2041480</v>
      </c>
      <c r="I696" s="9">
        <f t="shared" ca="1" si="63"/>
        <v>621320.00000000012</v>
      </c>
      <c r="J696" s="22">
        <f ca="1">IF(Salary[[#This Row],[پایه حقوق]]&lt;=5600000,0,(Salary[[#This Row],[پایه حقوق]]-5600000)*0.1)</f>
        <v>327600</v>
      </c>
      <c r="K696" s="16">
        <f t="shared" ca="1" si="64"/>
        <v>7927080</v>
      </c>
    </row>
    <row r="697" spans="1:11">
      <c r="A697" s="1">
        <v>9989493</v>
      </c>
      <c r="B697" s="7">
        <f t="shared" ca="1" si="60"/>
        <v>96</v>
      </c>
      <c r="C697" s="7">
        <f>MATCH(Salary[[#This Row],[ماه]],Calc!$A$16:$A$27,0)</f>
        <v>12</v>
      </c>
      <c r="D697" s="8" t="s">
        <v>97</v>
      </c>
      <c r="E697" s="9">
        <f t="shared" ca="1" si="65"/>
        <v>12660000</v>
      </c>
      <c r="F697" s="9"/>
      <c r="G697" s="9">
        <f t="shared" ca="1" si="61"/>
        <v>12660000</v>
      </c>
      <c r="H697" s="9">
        <f t="shared" ca="1" si="62"/>
        <v>2911800</v>
      </c>
      <c r="I697" s="9">
        <f t="shared" ca="1" si="63"/>
        <v>886200.00000000012</v>
      </c>
      <c r="J697" s="22">
        <f ca="1">IF(Salary[[#This Row],[پایه حقوق]]&lt;=5600000,0,(Salary[[#This Row],[پایه حقوق]]-5600000)*0.1)</f>
        <v>706000</v>
      </c>
      <c r="K697" s="16">
        <f t="shared" ca="1" si="64"/>
        <v>11067800</v>
      </c>
    </row>
    <row r="698" spans="1:11">
      <c r="A698" s="1">
        <v>9989541</v>
      </c>
      <c r="B698" s="7">
        <f t="shared" ca="1" si="60"/>
        <v>54</v>
      </c>
      <c r="C698" s="7">
        <f>MATCH(Salary[[#This Row],[ماه]],Calc!$A$16:$A$27,0)</f>
        <v>12</v>
      </c>
      <c r="D698" s="8" t="s">
        <v>97</v>
      </c>
      <c r="E698" s="9">
        <f t="shared" ca="1" si="65"/>
        <v>14232000</v>
      </c>
      <c r="F698" s="9"/>
      <c r="G698" s="9">
        <f t="shared" ca="1" si="61"/>
        <v>14232000</v>
      </c>
      <c r="H698" s="9">
        <f t="shared" ca="1" si="62"/>
        <v>3273360</v>
      </c>
      <c r="I698" s="9">
        <f t="shared" ca="1" si="63"/>
        <v>996240.00000000012</v>
      </c>
      <c r="J698" s="22">
        <f ca="1">IF(Salary[[#This Row],[پایه حقوق]]&lt;=5600000,0,(Salary[[#This Row],[پایه حقوق]]-5600000)*0.1)</f>
        <v>863200</v>
      </c>
      <c r="K698" s="16">
        <f t="shared" ca="1" si="64"/>
        <v>12372560</v>
      </c>
    </row>
    <row r="699" spans="1:11">
      <c r="A699" s="1">
        <v>9989589</v>
      </c>
      <c r="B699" s="7">
        <f t="shared" ca="1" si="60"/>
        <v>47</v>
      </c>
      <c r="C699" s="7">
        <f>MATCH(Salary[[#This Row],[ماه]],Calc!$A$16:$A$27,0)</f>
        <v>12</v>
      </c>
      <c r="D699" s="8" t="s">
        <v>97</v>
      </c>
      <c r="E699" s="9">
        <f t="shared" ca="1" si="65"/>
        <v>5936000</v>
      </c>
      <c r="F699" s="9"/>
      <c r="G699" s="9">
        <f t="shared" ca="1" si="61"/>
        <v>5936000</v>
      </c>
      <c r="H699" s="9">
        <f t="shared" ca="1" si="62"/>
        <v>1365280</v>
      </c>
      <c r="I699" s="9">
        <f t="shared" ca="1" si="63"/>
        <v>415520.00000000006</v>
      </c>
      <c r="J699" s="22">
        <f ca="1">IF(Salary[[#This Row],[پایه حقوق]]&lt;=5600000,0,(Salary[[#This Row],[پایه حقوق]]-5600000)*0.1)</f>
        <v>33600</v>
      </c>
      <c r="K699" s="16">
        <f t="shared" ca="1" si="64"/>
        <v>5486880</v>
      </c>
    </row>
    <row r="700" spans="1:11">
      <c r="A700" s="1">
        <v>9989637</v>
      </c>
      <c r="B700" s="7">
        <f t="shared" ca="1" si="60"/>
        <v>96</v>
      </c>
      <c r="C700" s="7">
        <f>MATCH(Salary[[#This Row],[ماه]],Calc!$A$16:$A$27,0)</f>
        <v>12</v>
      </c>
      <c r="D700" s="8" t="s">
        <v>97</v>
      </c>
      <c r="E700" s="9">
        <f t="shared" ca="1" si="65"/>
        <v>13330000</v>
      </c>
      <c r="F700" s="9"/>
      <c r="G700" s="9">
        <f t="shared" ca="1" si="61"/>
        <v>13330000</v>
      </c>
      <c r="H700" s="9">
        <f t="shared" ca="1" si="62"/>
        <v>3065900</v>
      </c>
      <c r="I700" s="9">
        <f t="shared" ca="1" si="63"/>
        <v>933100.00000000012</v>
      </c>
      <c r="J700" s="22">
        <f ca="1">IF(Salary[[#This Row],[پایه حقوق]]&lt;=5600000,0,(Salary[[#This Row],[پایه حقوق]]-5600000)*0.1)</f>
        <v>773000</v>
      </c>
      <c r="K700" s="16">
        <f t="shared" ca="1" si="64"/>
        <v>11623900</v>
      </c>
    </row>
    <row r="701" spans="1:11">
      <c r="A701" s="1">
        <v>9989685</v>
      </c>
      <c r="B701" s="7">
        <f t="shared" ca="1" si="60"/>
        <v>67</v>
      </c>
      <c r="C701" s="7">
        <f>MATCH(Salary[[#This Row],[ماه]],Calc!$A$16:$A$27,0)</f>
        <v>12</v>
      </c>
      <c r="D701" s="8" t="s">
        <v>97</v>
      </c>
      <c r="E701" s="9">
        <f t="shared" ca="1" si="65"/>
        <v>5333000</v>
      </c>
      <c r="F701" s="9"/>
      <c r="G701" s="9">
        <f t="shared" ca="1" si="61"/>
        <v>5333000</v>
      </c>
      <c r="H701" s="9">
        <f t="shared" ca="1" si="62"/>
        <v>1226590</v>
      </c>
      <c r="I701" s="9">
        <f t="shared" ca="1" si="63"/>
        <v>373310.00000000006</v>
      </c>
      <c r="J701" s="22">
        <f ca="1">IF(Salary[[#This Row],[پایه حقوق]]&lt;=5600000,0,(Salary[[#This Row],[پایه حقوق]]-5600000)*0.1)</f>
        <v>0</v>
      </c>
      <c r="K701" s="16">
        <f t="shared" ca="1" si="64"/>
        <v>4959690</v>
      </c>
    </row>
    <row r="702" spans="1:11">
      <c r="A702" s="1">
        <v>9989733</v>
      </c>
      <c r="B702" s="7">
        <f t="shared" ca="1" si="60"/>
        <v>68</v>
      </c>
      <c r="C702" s="7">
        <f>MATCH(Salary[[#This Row],[ماه]],Calc!$A$16:$A$27,0)</f>
        <v>12</v>
      </c>
      <c r="D702" s="8" t="s">
        <v>97</v>
      </c>
      <c r="E702" s="9">
        <f t="shared" ca="1" si="65"/>
        <v>8381000</v>
      </c>
      <c r="F702" s="9"/>
      <c r="G702" s="9">
        <f t="shared" ca="1" si="61"/>
        <v>8381000</v>
      </c>
      <c r="H702" s="9">
        <f t="shared" ca="1" si="62"/>
        <v>1927630</v>
      </c>
      <c r="I702" s="9">
        <f t="shared" ca="1" si="63"/>
        <v>586670</v>
      </c>
      <c r="J702" s="22">
        <f ca="1">IF(Salary[[#This Row],[پایه حقوق]]&lt;=5600000,0,(Salary[[#This Row],[پایه حقوق]]-5600000)*0.1)</f>
        <v>278100</v>
      </c>
      <c r="K702" s="16">
        <f t="shared" ca="1" si="64"/>
        <v>7516230</v>
      </c>
    </row>
    <row r="703" spans="1:11">
      <c r="A703" s="1">
        <v>9989781</v>
      </c>
      <c r="B703" s="7">
        <f t="shared" ca="1" si="60"/>
        <v>66</v>
      </c>
      <c r="C703" s="7">
        <f>MATCH(Salary[[#This Row],[ماه]],Calc!$A$16:$A$27,0)</f>
        <v>12</v>
      </c>
      <c r="D703" s="8" t="s">
        <v>97</v>
      </c>
      <c r="E703" s="9">
        <f t="shared" ca="1" si="65"/>
        <v>7272000</v>
      </c>
      <c r="F703" s="9"/>
      <c r="G703" s="9">
        <f t="shared" ca="1" si="61"/>
        <v>7272000</v>
      </c>
      <c r="H703" s="9">
        <f t="shared" ca="1" si="62"/>
        <v>1672560</v>
      </c>
      <c r="I703" s="9">
        <f t="shared" ca="1" si="63"/>
        <v>509040.00000000006</v>
      </c>
      <c r="J703" s="22">
        <f ca="1">IF(Salary[[#This Row],[پایه حقوق]]&lt;=5600000,0,(Salary[[#This Row],[پایه حقوق]]-5600000)*0.1)</f>
        <v>167200</v>
      </c>
      <c r="K703" s="16">
        <f t="shared" ca="1" si="64"/>
        <v>6595760</v>
      </c>
    </row>
    <row r="704" spans="1:11">
      <c r="A704" s="1">
        <v>9989829</v>
      </c>
      <c r="B704" s="7">
        <f t="shared" ca="1" si="60"/>
        <v>68</v>
      </c>
      <c r="C704" s="7">
        <f>MATCH(Salary[[#This Row],[ماه]],Calc!$A$16:$A$27,0)</f>
        <v>12</v>
      </c>
      <c r="D704" s="8" t="s">
        <v>97</v>
      </c>
      <c r="E704" s="9">
        <f t="shared" ca="1" si="65"/>
        <v>10798000</v>
      </c>
      <c r="F704" s="9"/>
      <c r="G704" s="9">
        <f t="shared" ca="1" si="61"/>
        <v>10798000</v>
      </c>
      <c r="H704" s="9">
        <f t="shared" ca="1" si="62"/>
        <v>2483540</v>
      </c>
      <c r="I704" s="9">
        <f t="shared" ca="1" si="63"/>
        <v>755860.00000000012</v>
      </c>
      <c r="J704" s="22">
        <f ca="1">IF(Salary[[#This Row],[پایه حقوق]]&lt;=5600000,0,(Salary[[#This Row],[پایه حقوق]]-5600000)*0.1)</f>
        <v>519800</v>
      </c>
      <c r="K704" s="16">
        <f t="shared" ca="1" si="64"/>
        <v>9522340</v>
      </c>
    </row>
    <row r="705" spans="1:11">
      <c r="A705" s="1">
        <v>9989877</v>
      </c>
      <c r="B705" s="7">
        <f t="shared" ca="1" si="60"/>
        <v>57</v>
      </c>
      <c r="C705" s="7">
        <f>MATCH(Salary[[#This Row],[ماه]],Calc!$A$16:$A$27,0)</f>
        <v>12</v>
      </c>
      <c r="D705" s="8" t="s">
        <v>97</v>
      </c>
      <c r="E705" s="9">
        <f t="shared" ca="1" si="65"/>
        <v>12889000</v>
      </c>
      <c r="F705" s="9"/>
      <c r="G705" s="9">
        <f t="shared" ca="1" si="61"/>
        <v>12889000</v>
      </c>
      <c r="H705" s="9">
        <f t="shared" ca="1" si="62"/>
        <v>2964470</v>
      </c>
      <c r="I705" s="9">
        <f t="shared" ca="1" si="63"/>
        <v>902230.00000000012</v>
      </c>
      <c r="J705" s="22">
        <f ca="1">IF(Salary[[#This Row],[پایه حقوق]]&lt;=5600000,0,(Salary[[#This Row],[پایه حقوق]]-5600000)*0.1)</f>
        <v>728900</v>
      </c>
      <c r="K705" s="16">
        <f t="shared" ca="1" si="64"/>
        <v>11257870</v>
      </c>
    </row>
    <row r="706" spans="1:11">
      <c r="A706" s="1">
        <v>9989925</v>
      </c>
      <c r="B706" s="7">
        <f t="shared" ref="B706:B721" ca="1" si="66">RANDBETWEEN(30,100)</f>
        <v>38</v>
      </c>
      <c r="C706" s="7">
        <f>MATCH(Salary[[#This Row],[ماه]],Calc!$A$16:$A$27,0)</f>
        <v>12</v>
      </c>
      <c r="D706" s="8" t="s">
        <v>97</v>
      </c>
      <c r="E706" s="9">
        <f t="shared" ca="1" si="65"/>
        <v>5139000</v>
      </c>
      <c r="F706" s="9"/>
      <c r="G706" s="9">
        <f t="shared" ref="G706:G721" ca="1" si="67">E706+F706</f>
        <v>5139000</v>
      </c>
      <c r="H706" s="9">
        <f t="shared" ref="H706:H721" ca="1" si="68">0.23*E706</f>
        <v>1181970</v>
      </c>
      <c r="I706" s="9">
        <f t="shared" ref="I706:I721" ca="1" si="69">0.07*E706</f>
        <v>359730.00000000006</v>
      </c>
      <c r="J706" s="22">
        <f ca="1">IF(Salary[[#This Row],[پایه حقوق]]&lt;=5600000,0,(Salary[[#This Row],[پایه حقوق]]-5600000)*0.1)</f>
        <v>0</v>
      </c>
      <c r="K706" s="16">
        <f t="shared" ref="K706:K721" ca="1" si="70">G706-I706-J706</f>
        <v>4779270</v>
      </c>
    </row>
    <row r="707" spans="1:11">
      <c r="A707" s="1">
        <v>9989973</v>
      </c>
      <c r="B707" s="7">
        <f t="shared" ca="1" si="66"/>
        <v>93</v>
      </c>
      <c r="C707" s="7">
        <f>MATCH(Salary[[#This Row],[ماه]],Calc!$A$16:$A$27,0)</f>
        <v>12</v>
      </c>
      <c r="D707" s="8" t="s">
        <v>97</v>
      </c>
      <c r="E707" s="9">
        <f t="shared" ref="E707:E721" ca="1" si="71">RANDBETWEEN(3000,15000)*1000</f>
        <v>10364000</v>
      </c>
      <c r="F707" s="9"/>
      <c r="G707" s="9">
        <f t="shared" ca="1" si="67"/>
        <v>10364000</v>
      </c>
      <c r="H707" s="9">
        <f t="shared" ca="1" si="68"/>
        <v>2383720</v>
      </c>
      <c r="I707" s="9">
        <f t="shared" ca="1" si="69"/>
        <v>725480.00000000012</v>
      </c>
      <c r="J707" s="22">
        <f ca="1">IF(Salary[[#This Row],[پایه حقوق]]&lt;=5600000,0,(Salary[[#This Row],[پایه حقوق]]-5600000)*0.1)</f>
        <v>476400</v>
      </c>
      <c r="K707" s="16">
        <f t="shared" ca="1" si="70"/>
        <v>9162120</v>
      </c>
    </row>
    <row r="708" spans="1:11">
      <c r="A708" s="1">
        <v>9990021</v>
      </c>
      <c r="B708" s="7">
        <f t="shared" ca="1" si="66"/>
        <v>53</v>
      </c>
      <c r="C708" s="7">
        <f>MATCH(Salary[[#This Row],[ماه]],Calc!$A$16:$A$27,0)</f>
        <v>12</v>
      </c>
      <c r="D708" s="8" t="s">
        <v>97</v>
      </c>
      <c r="E708" s="9">
        <f t="shared" ca="1" si="71"/>
        <v>12934000</v>
      </c>
      <c r="F708" s="9"/>
      <c r="G708" s="9">
        <f t="shared" ca="1" si="67"/>
        <v>12934000</v>
      </c>
      <c r="H708" s="9">
        <f t="shared" ca="1" si="68"/>
        <v>2974820</v>
      </c>
      <c r="I708" s="9">
        <f t="shared" ca="1" si="69"/>
        <v>905380.00000000012</v>
      </c>
      <c r="J708" s="22">
        <f ca="1">IF(Salary[[#This Row],[پایه حقوق]]&lt;=5600000,0,(Salary[[#This Row],[پایه حقوق]]-5600000)*0.1)</f>
        <v>733400</v>
      </c>
      <c r="K708" s="16">
        <f t="shared" ca="1" si="70"/>
        <v>11295220</v>
      </c>
    </row>
    <row r="709" spans="1:11">
      <c r="A709" s="1">
        <v>9990069</v>
      </c>
      <c r="B709" s="7">
        <f t="shared" ca="1" si="66"/>
        <v>31</v>
      </c>
      <c r="C709" s="7">
        <f>MATCH(Salary[[#This Row],[ماه]],Calc!$A$16:$A$27,0)</f>
        <v>12</v>
      </c>
      <c r="D709" s="8" t="s">
        <v>97</v>
      </c>
      <c r="E709" s="9">
        <f t="shared" ca="1" si="71"/>
        <v>9214000</v>
      </c>
      <c r="F709" s="9"/>
      <c r="G709" s="9">
        <f t="shared" ca="1" si="67"/>
        <v>9214000</v>
      </c>
      <c r="H709" s="9">
        <f t="shared" ca="1" si="68"/>
        <v>2119220</v>
      </c>
      <c r="I709" s="9">
        <f t="shared" ca="1" si="69"/>
        <v>644980.00000000012</v>
      </c>
      <c r="J709" s="22">
        <f ca="1">IF(Salary[[#This Row],[پایه حقوق]]&lt;=5600000,0,(Salary[[#This Row],[پایه حقوق]]-5600000)*0.1)</f>
        <v>361400</v>
      </c>
      <c r="K709" s="16">
        <f t="shared" ca="1" si="70"/>
        <v>8207620</v>
      </c>
    </row>
    <row r="710" spans="1:11">
      <c r="A710" s="1">
        <v>9990117</v>
      </c>
      <c r="B710" s="7">
        <f t="shared" ca="1" si="66"/>
        <v>85</v>
      </c>
      <c r="C710" s="7">
        <f>MATCH(Salary[[#This Row],[ماه]],Calc!$A$16:$A$27,0)</f>
        <v>12</v>
      </c>
      <c r="D710" s="8" t="s">
        <v>97</v>
      </c>
      <c r="E710" s="9">
        <f t="shared" ca="1" si="71"/>
        <v>13381000</v>
      </c>
      <c r="F710" s="9"/>
      <c r="G710" s="9">
        <f t="shared" ca="1" si="67"/>
        <v>13381000</v>
      </c>
      <c r="H710" s="9">
        <f t="shared" ca="1" si="68"/>
        <v>3077630</v>
      </c>
      <c r="I710" s="9">
        <f t="shared" ca="1" si="69"/>
        <v>936670.00000000012</v>
      </c>
      <c r="J710" s="22">
        <f ca="1">IF(Salary[[#This Row],[پایه حقوق]]&lt;=5600000,0,(Salary[[#This Row],[پایه حقوق]]-5600000)*0.1)</f>
        <v>778100</v>
      </c>
      <c r="K710" s="16">
        <f t="shared" ca="1" si="70"/>
        <v>11666230</v>
      </c>
    </row>
    <row r="711" spans="1:11">
      <c r="A711" s="1">
        <v>9990165</v>
      </c>
      <c r="B711" s="7">
        <f t="shared" ca="1" si="66"/>
        <v>83</v>
      </c>
      <c r="C711" s="7">
        <f>MATCH(Salary[[#This Row],[ماه]],Calc!$A$16:$A$27,0)</f>
        <v>12</v>
      </c>
      <c r="D711" s="8" t="s">
        <v>97</v>
      </c>
      <c r="E711" s="9">
        <f t="shared" ca="1" si="71"/>
        <v>14295000</v>
      </c>
      <c r="F711" s="9"/>
      <c r="G711" s="9">
        <f t="shared" ca="1" si="67"/>
        <v>14295000</v>
      </c>
      <c r="H711" s="9">
        <f t="shared" ca="1" si="68"/>
        <v>3287850</v>
      </c>
      <c r="I711" s="9">
        <f t="shared" ca="1" si="69"/>
        <v>1000650.0000000001</v>
      </c>
      <c r="J711" s="22">
        <f ca="1">IF(Salary[[#This Row],[پایه حقوق]]&lt;=5600000,0,(Salary[[#This Row],[پایه حقوق]]-5600000)*0.1)</f>
        <v>869500</v>
      </c>
      <c r="K711" s="16">
        <f t="shared" ca="1" si="70"/>
        <v>12424850</v>
      </c>
    </row>
    <row r="712" spans="1:11">
      <c r="A712" s="1">
        <v>9990213</v>
      </c>
      <c r="B712" s="7">
        <f t="shared" ca="1" si="66"/>
        <v>44</v>
      </c>
      <c r="C712" s="7">
        <f>MATCH(Salary[[#This Row],[ماه]],Calc!$A$16:$A$27,0)</f>
        <v>12</v>
      </c>
      <c r="D712" s="8" t="s">
        <v>97</v>
      </c>
      <c r="E712" s="9">
        <f t="shared" ca="1" si="71"/>
        <v>14232000</v>
      </c>
      <c r="F712" s="9"/>
      <c r="G712" s="9">
        <f t="shared" ca="1" si="67"/>
        <v>14232000</v>
      </c>
      <c r="H712" s="9">
        <f t="shared" ca="1" si="68"/>
        <v>3273360</v>
      </c>
      <c r="I712" s="9">
        <f t="shared" ca="1" si="69"/>
        <v>996240.00000000012</v>
      </c>
      <c r="J712" s="22">
        <f ca="1">IF(Salary[[#This Row],[پایه حقوق]]&lt;=5600000,0,(Salary[[#This Row],[پایه حقوق]]-5600000)*0.1)</f>
        <v>863200</v>
      </c>
      <c r="K712" s="16">
        <f t="shared" ca="1" si="70"/>
        <v>12372560</v>
      </c>
    </row>
    <row r="713" spans="1:11">
      <c r="A713" s="1">
        <v>9990261</v>
      </c>
      <c r="B713" s="7">
        <f t="shared" ca="1" si="66"/>
        <v>86</v>
      </c>
      <c r="C713" s="7">
        <f>MATCH(Salary[[#This Row],[ماه]],Calc!$A$16:$A$27,0)</f>
        <v>12</v>
      </c>
      <c r="D713" s="8" t="s">
        <v>97</v>
      </c>
      <c r="E713" s="9">
        <f t="shared" ca="1" si="71"/>
        <v>10683000</v>
      </c>
      <c r="F713" s="9"/>
      <c r="G713" s="9">
        <f t="shared" ca="1" si="67"/>
        <v>10683000</v>
      </c>
      <c r="H713" s="9">
        <f t="shared" ca="1" si="68"/>
        <v>2457090</v>
      </c>
      <c r="I713" s="9">
        <f t="shared" ca="1" si="69"/>
        <v>747810.00000000012</v>
      </c>
      <c r="J713" s="22">
        <f ca="1">IF(Salary[[#This Row],[پایه حقوق]]&lt;=5600000,0,(Salary[[#This Row],[پایه حقوق]]-5600000)*0.1)</f>
        <v>508300</v>
      </c>
      <c r="K713" s="16">
        <f t="shared" ca="1" si="70"/>
        <v>9426890</v>
      </c>
    </row>
    <row r="714" spans="1:11">
      <c r="A714" s="1">
        <v>9990309</v>
      </c>
      <c r="B714" s="7">
        <f t="shared" ca="1" si="66"/>
        <v>34</v>
      </c>
      <c r="C714" s="7">
        <f>MATCH(Salary[[#This Row],[ماه]],Calc!$A$16:$A$27,0)</f>
        <v>12</v>
      </c>
      <c r="D714" s="8" t="s">
        <v>97</v>
      </c>
      <c r="E714" s="9">
        <f t="shared" ca="1" si="71"/>
        <v>6697000</v>
      </c>
      <c r="F714" s="9"/>
      <c r="G714" s="9">
        <f t="shared" ca="1" si="67"/>
        <v>6697000</v>
      </c>
      <c r="H714" s="9">
        <f t="shared" ca="1" si="68"/>
        <v>1540310</v>
      </c>
      <c r="I714" s="9">
        <f t="shared" ca="1" si="69"/>
        <v>468790.00000000006</v>
      </c>
      <c r="J714" s="22">
        <f ca="1">IF(Salary[[#This Row],[پایه حقوق]]&lt;=5600000,0,(Salary[[#This Row],[پایه حقوق]]-5600000)*0.1)</f>
        <v>109700</v>
      </c>
      <c r="K714" s="16">
        <f t="shared" ca="1" si="70"/>
        <v>6118510</v>
      </c>
    </row>
    <row r="715" spans="1:11">
      <c r="A715" s="1">
        <v>9990357</v>
      </c>
      <c r="B715" s="7">
        <f t="shared" ca="1" si="66"/>
        <v>46</v>
      </c>
      <c r="C715" s="7">
        <f>MATCH(Salary[[#This Row],[ماه]],Calc!$A$16:$A$27,0)</f>
        <v>12</v>
      </c>
      <c r="D715" s="8" t="s">
        <v>97</v>
      </c>
      <c r="E715" s="9">
        <f t="shared" ca="1" si="71"/>
        <v>10093000</v>
      </c>
      <c r="F715" s="9"/>
      <c r="G715" s="9">
        <f t="shared" ca="1" si="67"/>
        <v>10093000</v>
      </c>
      <c r="H715" s="9">
        <f t="shared" ca="1" si="68"/>
        <v>2321390</v>
      </c>
      <c r="I715" s="9">
        <f t="shared" ca="1" si="69"/>
        <v>706510.00000000012</v>
      </c>
      <c r="J715" s="22">
        <f ca="1">IF(Salary[[#This Row],[پایه حقوق]]&lt;=5600000,0,(Salary[[#This Row],[پایه حقوق]]-5600000)*0.1)</f>
        <v>449300</v>
      </c>
      <c r="K715" s="16">
        <f t="shared" ca="1" si="70"/>
        <v>8937190</v>
      </c>
    </row>
    <row r="716" spans="1:11">
      <c r="A716" s="1">
        <v>9990405</v>
      </c>
      <c r="B716" s="7">
        <f t="shared" ca="1" si="66"/>
        <v>55</v>
      </c>
      <c r="C716" s="7">
        <f>MATCH(Salary[[#This Row],[ماه]],Calc!$A$16:$A$27,0)</f>
        <v>12</v>
      </c>
      <c r="D716" s="8" t="s">
        <v>97</v>
      </c>
      <c r="E716" s="9">
        <f t="shared" ca="1" si="71"/>
        <v>6884000</v>
      </c>
      <c r="F716" s="9"/>
      <c r="G716" s="9">
        <f t="shared" ca="1" si="67"/>
        <v>6884000</v>
      </c>
      <c r="H716" s="9">
        <f t="shared" ca="1" si="68"/>
        <v>1583320</v>
      </c>
      <c r="I716" s="9">
        <f t="shared" ca="1" si="69"/>
        <v>481880.00000000006</v>
      </c>
      <c r="J716" s="22">
        <f ca="1">IF(Salary[[#This Row],[پایه حقوق]]&lt;=5600000,0,(Salary[[#This Row],[پایه حقوق]]-5600000)*0.1)</f>
        <v>128400</v>
      </c>
      <c r="K716" s="16">
        <f t="shared" ca="1" si="70"/>
        <v>6273720</v>
      </c>
    </row>
    <row r="717" spans="1:11">
      <c r="A717" s="1">
        <v>9990453</v>
      </c>
      <c r="B717" s="7">
        <f t="shared" ca="1" si="66"/>
        <v>77</v>
      </c>
      <c r="C717" s="7">
        <f>MATCH(Salary[[#This Row],[ماه]],Calc!$A$16:$A$27,0)</f>
        <v>12</v>
      </c>
      <c r="D717" s="8" t="s">
        <v>97</v>
      </c>
      <c r="E717" s="9">
        <f t="shared" ca="1" si="71"/>
        <v>5584000</v>
      </c>
      <c r="F717" s="9"/>
      <c r="G717" s="9">
        <f t="shared" ca="1" si="67"/>
        <v>5584000</v>
      </c>
      <c r="H717" s="9">
        <f t="shared" ca="1" si="68"/>
        <v>1284320</v>
      </c>
      <c r="I717" s="9">
        <f t="shared" ca="1" si="69"/>
        <v>390880.00000000006</v>
      </c>
      <c r="J717" s="22">
        <f ca="1">IF(Salary[[#This Row],[پایه حقوق]]&lt;=5600000,0,(Salary[[#This Row],[پایه حقوق]]-5600000)*0.1)</f>
        <v>0</v>
      </c>
      <c r="K717" s="16">
        <f t="shared" ca="1" si="70"/>
        <v>5193120</v>
      </c>
    </row>
    <row r="718" spans="1:11">
      <c r="A718" s="1">
        <v>9990501</v>
      </c>
      <c r="B718" s="7">
        <f t="shared" ca="1" si="66"/>
        <v>71</v>
      </c>
      <c r="C718" s="7">
        <f>MATCH(Salary[[#This Row],[ماه]],Calc!$A$16:$A$27,0)</f>
        <v>12</v>
      </c>
      <c r="D718" s="8" t="s">
        <v>97</v>
      </c>
      <c r="E718" s="9">
        <f t="shared" ca="1" si="71"/>
        <v>11014000</v>
      </c>
      <c r="F718" s="9"/>
      <c r="G718" s="9">
        <f t="shared" ca="1" si="67"/>
        <v>11014000</v>
      </c>
      <c r="H718" s="9">
        <f t="shared" ca="1" si="68"/>
        <v>2533220</v>
      </c>
      <c r="I718" s="9">
        <f t="shared" ca="1" si="69"/>
        <v>770980.00000000012</v>
      </c>
      <c r="J718" s="22">
        <f ca="1">IF(Salary[[#This Row],[پایه حقوق]]&lt;=5600000,0,(Salary[[#This Row],[پایه حقوق]]-5600000)*0.1)</f>
        <v>541400</v>
      </c>
      <c r="K718" s="16">
        <f t="shared" ca="1" si="70"/>
        <v>9701620</v>
      </c>
    </row>
    <row r="719" spans="1:11">
      <c r="A719" s="1">
        <v>9990549</v>
      </c>
      <c r="B719" s="7">
        <f t="shared" ca="1" si="66"/>
        <v>41</v>
      </c>
      <c r="C719" s="7">
        <f>MATCH(Salary[[#This Row],[ماه]],Calc!$A$16:$A$27,0)</f>
        <v>12</v>
      </c>
      <c r="D719" s="8" t="s">
        <v>97</v>
      </c>
      <c r="E719" s="9">
        <f t="shared" ca="1" si="71"/>
        <v>7764000</v>
      </c>
      <c r="F719" s="9"/>
      <c r="G719" s="9">
        <f t="shared" ca="1" si="67"/>
        <v>7764000</v>
      </c>
      <c r="H719" s="9">
        <f t="shared" ca="1" si="68"/>
        <v>1785720</v>
      </c>
      <c r="I719" s="9">
        <f t="shared" ca="1" si="69"/>
        <v>543480</v>
      </c>
      <c r="J719" s="22">
        <f ca="1">IF(Salary[[#This Row],[پایه حقوق]]&lt;=5600000,0,(Salary[[#This Row],[پایه حقوق]]-5600000)*0.1)</f>
        <v>216400</v>
      </c>
      <c r="K719" s="16">
        <f t="shared" ca="1" si="70"/>
        <v>7004120</v>
      </c>
    </row>
    <row r="720" spans="1:11">
      <c r="A720" s="1">
        <v>9990597</v>
      </c>
      <c r="B720" s="7">
        <f t="shared" ca="1" si="66"/>
        <v>81</v>
      </c>
      <c r="C720" s="7">
        <f>MATCH(Salary[[#This Row],[ماه]],Calc!$A$16:$A$27,0)</f>
        <v>12</v>
      </c>
      <c r="D720" s="8" t="s">
        <v>97</v>
      </c>
      <c r="E720" s="9">
        <f t="shared" ca="1" si="71"/>
        <v>6545000</v>
      </c>
      <c r="F720" s="9"/>
      <c r="G720" s="9">
        <f t="shared" ca="1" si="67"/>
        <v>6545000</v>
      </c>
      <c r="H720" s="9">
        <f t="shared" ca="1" si="68"/>
        <v>1505350</v>
      </c>
      <c r="I720" s="9">
        <f t="shared" ca="1" si="69"/>
        <v>458150.00000000006</v>
      </c>
      <c r="J720" s="22">
        <f ca="1">IF(Salary[[#This Row],[پایه حقوق]]&lt;=5600000,0,(Salary[[#This Row],[پایه حقوق]]-5600000)*0.1)</f>
        <v>94500</v>
      </c>
      <c r="K720" s="16">
        <f t="shared" ca="1" si="70"/>
        <v>5992350</v>
      </c>
    </row>
    <row r="721" spans="1:11">
      <c r="A721" s="1">
        <v>9990645</v>
      </c>
      <c r="B721" s="7">
        <f t="shared" ca="1" si="66"/>
        <v>33</v>
      </c>
      <c r="C721" s="37">
        <f>MATCH(Salary[[#This Row],[ماه]],Calc!$A$16:$A$27,0)</f>
        <v>12</v>
      </c>
      <c r="D721" s="12" t="s">
        <v>97</v>
      </c>
      <c r="E721" s="9">
        <f t="shared" ca="1" si="71"/>
        <v>12456000</v>
      </c>
      <c r="F721" s="13"/>
      <c r="G721" s="13">
        <f t="shared" ca="1" si="67"/>
        <v>12456000</v>
      </c>
      <c r="H721" s="13">
        <f t="shared" ca="1" si="68"/>
        <v>2864880</v>
      </c>
      <c r="I721" s="13">
        <f t="shared" ca="1" si="69"/>
        <v>871920.00000000012</v>
      </c>
      <c r="J721" s="22">
        <f ca="1">IF(Salary[[#This Row],[پایه حقوق]]&lt;=5600000,0,(Salary[[#This Row],[پایه حقوق]]-5600000)*0.1)</f>
        <v>685600</v>
      </c>
      <c r="K721" s="18">
        <f t="shared" ca="1" si="70"/>
        <v>10898480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B3FE4-FAE5-430A-907C-99ED4F2AF081}">
  <dimension ref="A3:A9"/>
  <sheetViews>
    <sheetView workbookViewId="0">
      <selection activeCell="A3" sqref="A3"/>
    </sheetView>
  </sheetViews>
  <sheetFormatPr defaultRowHeight="14.4"/>
  <cols>
    <col min="1" max="1" width="12.5546875" bestFit="1" customWidth="1"/>
  </cols>
  <sheetData>
    <row r="3" spans="1:1">
      <c r="A3" s="20" t="s">
        <v>98</v>
      </c>
    </row>
    <row r="4" spans="1:1">
      <c r="A4" s="21" t="s">
        <v>10</v>
      </c>
    </row>
    <row r="5" spans="1:1">
      <c r="A5" s="21" t="s">
        <v>0</v>
      </c>
    </row>
    <row r="6" spans="1:1">
      <c r="A6" s="21" t="s">
        <v>4</v>
      </c>
    </row>
    <row r="7" spans="1:1">
      <c r="A7" s="21" t="s">
        <v>7</v>
      </c>
    </row>
    <row r="8" spans="1:1">
      <c r="A8" s="21" t="s">
        <v>12</v>
      </c>
    </row>
    <row r="9" spans="1:1">
      <c r="A9" s="21" t="s">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EC31C-A0CC-42FD-9116-4973611D1EBF}">
  <dimension ref="A1:R48"/>
  <sheetViews>
    <sheetView showGridLines="0" showRowColHeaders="0" rightToLeft="1" tabSelected="1" zoomScale="91" zoomScaleNormal="91" workbookViewId="0">
      <selection activeCell="S24" sqref="S24"/>
    </sheetView>
  </sheetViews>
  <sheetFormatPr defaultRowHeight="14.4" outlineLevelCol="1"/>
  <cols>
    <col min="1" max="1" width="26.88671875" customWidth="1" outlineLevel="1"/>
  </cols>
  <sheetData>
    <row r="1" spans="1:18">
      <c r="A1" s="25"/>
      <c r="B1" s="28"/>
      <c r="C1" s="28"/>
      <c r="D1" s="28"/>
      <c r="E1" s="28"/>
      <c r="F1" s="28"/>
      <c r="G1" s="28"/>
      <c r="H1" s="28"/>
      <c r="I1" s="28"/>
      <c r="J1" s="28"/>
      <c r="K1" s="28"/>
      <c r="L1" s="28"/>
      <c r="M1" s="28"/>
      <c r="N1" s="28"/>
      <c r="O1" s="28"/>
      <c r="P1" s="36"/>
      <c r="Q1" s="36"/>
      <c r="R1" s="36"/>
    </row>
    <row r="2" spans="1:18">
      <c r="A2" s="25"/>
      <c r="B2" s="28"/>
      <c r="C2" s="28"/>
      <c r="D2" s="28"/>
      <c r="E2" s="28"/>
      <c r="F2" s="28"/>
      <c r="G2" s="28"/>
      <c r="H2" s="28"/>
      <c r="I2" s="28"/>
      <c r="J2" s="28"/>
      <c r="K2" s="28"/>
      <c r="L2" s="28"/>
      <c r="M2" s="28"/>
      <c r="N2" s="28"/>
      <c r="O2" s="28"/>
      <c r="P2" s="36"/>
      <c r="Q2" s="36"/>
      <c r="R2" s="36"/>
    </row>
    <row r="3" spans="1:18">
      <c r="A3" s="25"/>
      <c r="B3" s="28"/>
      <c r="C3" s="28"/>
      <c r="D3" s="28"/>
      <c r="E3" s="28"/>
      <c r="F3" s="28"/>
      <c r="G3" s="28"/>
      <c r="H3" s="28"/>
      <c r="I3" s="28"/>
      <c r="J3" s="28"/>
      <c r="K3" s="28"/>
      <c r="L3" s="28"/>
      <c r="M3" s="28"/>
      <c r="N3" s="28"/>
      <c r="O3" s="28"/>
      <c r="P3" s="36"/>
      <c r="Q3" s="36"/>
      <c r="R3" s="36"/>
    </row>
    <row r="4" spans="1:18">
      <c r="A4" s="25"/>
      <c r="B4" s="28"/>
      <c r="C4" s="28"/>
      <c r="D4" s="28"/>
      <c r="E4" s="28"/>
      <c r="F4" s="28"/>
      <c r="G4" s="28"/>
      <c r="H4" s="28"/>
      <c r="I4" s="28"/>
      <c r="J4" s="28"/>
      <c r="K4" s="28"/>
      <c r="L4" s="28"/>
      <c r="M4" s="28"/>
      <c r="N4" s="28"/>
      <c r="O4" s="28"/>
      <c r="P4" s="36"/>
      <c r="Q4" s="36"/>
      <c r="R4" s="36"/>
    </row>
    <row r="5" spans="1:18" ht="28.8" customHeight="1">
      <c r="A5" s="26" t="s">
        <v>100</v>
      </c>
      <c r="B5" s="28"/>
      <c r="C5" s="28"/>
      <c r="D5" s="28"/>
      <c r="E5" s="28"/>
      <c r="F5" s="28"/>
      <c r="G5" s="28"/>
      <c r="H5" s="28"/>
      <c r="I5" s="28"/>
      <c r="J5" s="28"/>
      <c r="K5" s="28"/>
      <c r="L5" s="28"/>
      <c r="M5" s="28"/>
      <c r="N5" s="28"/>
      <c r="O5" s="28"/>
      <c r="P5" s="36"/>
      <c r="Q5" s="36"/>
      <c r="R5" s="36"/>
    </row>
    <row r="6" spans="1:18" ht="28.2" customHeight="1">
      <c r="A6" s="23" t="s">
        <v>101</v>
      </c>
      <c r="B6" s="28"/>
      <c r="C6" s="28"/>
      <c r="D6" s="28"/>
      <c r="E6" s="28"/>
      <c r="F6" s="28"/>
      <c r="G6" s="28"/>
      <c r="H6" s="28"/>
      <c r="I6" s="28"/>
      <c r="J6" s="28"/>
      <c r="K6" s="28"/>
      <c r="L6" s="28"/>
      <c r="M6" s="28"/>
      <c r="N6" s="28"/>
      <c r="O6" s="28"/>
      <c r="P6" s="36"/>
      <c r="Q6" s="36"/>
      <c r="R6" s="36"/>
    </row>
    <row r="7" spans="1:18">
      <c r="A7" s="25"/>
      <c r="B7" s="28"/>
      <c r="C7" s="28"/>
      <c r="D7" s="28"/>
      <c r="E7" s="28"/>
      <c r="F7" s="28"/>
      <c r="G7" s="28"/>
      <c r="H7" s="28"/>
      <c r="I7" s="28"/>
      <c r="J7" s="28"/>
      <c r="K7" s="28"/>
      <c r="L7" s="28"/>
      <c r="M7" s="28"/>
      <c r="N7" s="28"/>
      <c r="O7" s="28"/>
      <c r="P7" s="36"/>
      <c r="Q7" s="36"/>
      <c r="R7" s="36"/>
    </row>
    <row r="8" spans="1:18">
      <c r="A8" s="25"/>
      <c r="B8" s="28"/>
      <c r="C8" s="28"/>
      <c r="D8" s="28"/>
      <c r="E8" s="28"/>
      <c r="F8" s="28"/>
      <c r="G8" s="28"/>
      <c r="H8" s="28"/>
      <c r="I8" s="28"/>
      <c r="J8" s="28"/>
      <c r="K8" s="28"/>
      <c r="L8" s="28"/>
      <c r="M8" s="28"/>
      <c r="N8" s="28"/>
      <c r="O8" s="28"/>
      <c r="P8" s="36"/>
      <c r="Q8" s="36"/>
      <c r="R8" s="36"/>
    </row>
    <row r="9" spans="1:18">
      <c r="A9" s="25"/>
      <c r="B9" s="28"/>
      <c r="C9" s="28"/>
      <c r="D9" s="28"/>
      <c r="E9" s="28"/>
      <c r="F9" s="28"/>
      <c r="G9" s="28"/>
      <c r="H9" s="28"/>
      <c r="I9" s="28"/>
      <c r="J9" s="28"/>
      <c r="K9" s="28"/>
      <c r="L9" s="28"/>
      <c r="M9" s="28"/>
      <c r="N9" s="28"/>
      <c r="O9" s="28"/>
      <c r="P9" s="36"/>
      <c r="Q9" s="36"/>
      <c r="R9" s="36"/>
    </row>
    <row r="10" spans="1:18">
      <c r="A10" s="25"/>
      <c r="B10" s="28"/>
      <c r="C10" s="28"/>
      <c r="D10" s="28"/>
      <c r="E10" s="28"/>
      <c r="F10" s="28"/>
      <c r="G10" s="28"/>
      <c r="H10" s="28"/>
      <c r="I10" s="28"/>
      <c r="J10" s="28"/>
      <c r="K10" s="28"/>
      <c r="L10" s="28"/>
      <c r="M10" s="28"/>
      <c r="N10" s="28"/>
      <c r="O10" s="28"/>
      <c r="P10" s="36"/>
      <c r="Q10" s="36"/>
      <c r="R10" s="36"/>
    </row>
    <row r="11" spans="1:18">
      <c r="A11" s="25"/>
      <c r="B11" s="28"/>
      <c r="C11" s="28"/>
      <c r="D11" s="28"/>
      <c r="E11" s="28"/>
      <c r="F11" s="28"/>
      <c r="G11" s="28"/>
      <c r="H11" s="28"/>
      <c r="I11" s="28"/>
      <c r="J11" s="28"/>
      <c r="K11" s="28"/>
      <c r="L11" s="28"/>
      <c r="M11" s="28"/>
      <c r="N11" s="28"/>
      <c r="O11" s="28"/>
      <c r="P11" s="36"/>
      <c r="Q11" s="36"/>
      <c r="R11" s="36"/>
    </row>
    <row r="12" spans="1:18">
      <c r="A12" s="25"/>
      <c r="B12" s="28"/>
      <c r="C12" s="28"/>
      <c r="D12" s="28"/>
      <c r="E12" s="28"/>
      <c r="F12" s="28"/>
      <c r="G12" s="28"/>
      <c r="H12" s="28"/>
      <c r="I12" s="28"/>
      <c r="J12" s="28"/>
      <c r="K12" s="28"/>
      <c r="L12" s="28"/>
      <c r="M12" s="28"/>
      <c r="N12" s="28"/>
      <c r="O12" s="28"/>
      <c r="P12" s="36"/>
      <c r="Q12" s="36"/>
      <c r="R12" s="36"/>
    </row>
    <row r="13" spans="1:18">
      <c r="A13" s="25"/>
      <c r="B13" s="28"/>
      <c r="C13" s="28"/>
      <c r="D13" s="28"/>
      <c r="E13" s="28"/>
      <c r="F13" s="28"/>
      <c r="G13" s="28"/>
      <c r="H13" s="28"/>
      <c r="I13" s="28"/>
      <c r="J13" s="28"/>
      <c r="K13" s="28"/>
      <c r="L13" s="28"/>
      <c r="M13" s="28"/>
      <c r="N13" s="28"/>
      <c r="O13" s="28"/>
      <c r="P13" s="36"/>
      <c r="Q13" s="36"/>
      <c r="R13" s="36"/>
    </row>
    <row r="14" spans="1:18">
      <c r="A14" s="25"/>
      <c r="B14" s="28"/>
      <c r="C14" s="28"/>
      <c r="D14" s="28"/>
      <c r="E14" s="28"/>
      <c r="F14" s="28"/>
      <c r="G14" s="28"/>
      <c r="H14" s="28"/>
      <c r="I14" s="28"/>
      <c r="J14" s="28"/>
      <c r="K14" s="28"/>
      <c r="L14" s="28"/>
      <c r="M14" s="28"/>
      <c r="N14" s="28"/>
      <c r="O14" s="28"/>
      <c r="P14" s="36"/>
      <c r="Q14" s="36"/>
      <c r="R14" s="36"/>
    </row>
    <row r="15" spans="1:18">
      <c r="A15" s="25"/>
      <c r="B15" s="28"/>
      <c r="C15" s="28"/>
      <c r="D15" s="28"/>
      <c r="E15" s="28"/>
      <c r="F15" s="28"/>
      <c r="G15" s="28"/>
      <c r="H15" s="28"/>
      <c r="I15" s="28"/>
      <c r="J15" s="28"/>
      <c r="K15" s="28"/>
      <c r="L15" s="28"/>
      <c r="M15" s="28"/>
      <c r="N15" s="28"/>
      <c r="O15" s="28"/>
      <c r="P15" s="36"/>
      <c r="Q15" s="36"/>
      <c r="R15" s="36"/>
    </row>
    <row r="16" spans="1:18">
      <c r="A16" s="25"/>
      <c r="B16" s="28"/>
      <c r="C16" s="28"/>
      <c r="D16" s="28"/>
      <c r="E16" s="28"/>
      <c r="F16" s="28"/>
      <c r="G16" s="28"/>
      <c r="H16" s="28"/>
      <c r="I16" s="28"/>
      <c r="J16" s="28"/>
      <c r="K16" s="28"/>
      <c r="L16" s="28"/>
      <c r="M16" s="28"/>
      <c r="N16" s="28"/>
      <c r="O16" s="28"/>
      <c r="P16" s="36"/>
      <c r="Q16" s="36"/>
      <c r="R16" s="36"/>
    </row>
    <row r="17" spans="1:18">
      <c r="A17" s="25"/>
      <c r="B17" s="28"/>
      <c r="C17" s="28"/>
      <c r="D17" s="28"/>
      <c r="E17" s="28"/>
      <c r="F17" s="28"/>
      <c r="G17" s="28"/>
      <c r="H17" s="28"/>
      <c r="I17" s="28"/>
      <c r="J17" s="28"/>
      <c r="K17" s="28"/>
      <c r="L17" s="28"/>
      <c r="M17" s="28"/>
      <c r="N17" s="28"/>
      <c r="O17" s="28"/>
      <c r="P17" s="36"/>
      <c r="Q17" s="36"/>
      <c r="R17" s="36"/>
    </row>
    <row r="18" spans="1:18">
      <c r="A18" s="25"/>
      <c r="B18" s="28"/>
      <c r="C18" s="28"/>
      <c r="D18" s="28"/>
      <c r="E18" s="28"/>
      <c r="F18" s="28"/>
      <c r="G18" s="28"/>
      <c r="H18" s="28"/>
      <c r="I18" s="28"/>
      <c r="J18" s="28"/>
      <c r="K18" s="28"/>
      <c r="L18" s="28"/>
      <c r="M18" s="28"/>
      <c r="N18" s="28"/>
      <c r="O18" s="28"/>
      <c r="P18" s="36"/>
      <c r="Q18" s="36"/>
      <c r="R18" s="36"/>
    </row>
    <row r="19" spans="1:18">
      <c r="A19" s="25"/>
      <c r="B19" s="28"/>
      <c r="C19" s="28"/>
      <c r="D19" s="28"/>
      <c r="E19" s="28"/>
      <c r="F19" s="28"/>
      <c r="G19" s="28"/>
      <c r="H19" s="28"/>
      <c r="I19" s="28"/>
      <c r="J19" s="28"/>
      <c r="K19" s="28"/>
      <c r="L19" s="28"/>
      <c r="M19" s="28"/>
      <c r="N19" s="28"/>
      <c r="O19" s="28"/>
      <c r="P19" s="36"/>
      <c r="Q19" s="36"/>
      <c r="R19" s="36"/>
    </row>
    <row r="20" spans="1:18">
      <c r="A20" s="25"/>
      <c r="B20" s="28"/>
      <c r="C20" s="28"/>
      <c r="D20" s="28"/>
      <c r="E20" s="28"/>
      <c r="F20" s="28"/>
      <c r="G20" s="28"/>
      <c r="H20" s="28"/>
      <c r="I20" s="28"/>
      <c r="J20" s="28"/>
      <c r="K20" s="28"/>
      <c r="L20" s="28"/>
      <c r="M20" s="28"/>
      <c r="N20" s="28"/>
      <c r="O20" s="28"/>
      <c r="P20" s="36"/>
      <c r="Q20" s="36"/>
      <c r="R20" s="36"/>
    </row>
    <row r="21" spans="1:18">
      <c r="A21" s="25"/>
      <c r="B21" s="28"/>
      <c r="C21" s="28"/>
      <c r="D21" s="28"/>
      <c r="E21" s="28"/>
      <c r="F21" s="28"/>
      <c r="G21" s="28"/>
      <c r="H21" s="28"/>
      <c r="I21" s="28"/>
      <c r="J21" s="28"/>
      <c r="K21" s="28"/>
      <c r="L21" s="28"/>
      <c r="M21" s="28"/>
      <c r="N21" s="28"/>
      <c r="O21" s="28"/>
      <c r="P21" s="36"/>
      <c r="Q21" s="36"/>
      <c r="R21" s="36"/>
    </row>
    <row r="22" spans="1:18">
      <c r="A22" s="25"/>
      <c r="B22" s="28"/>
      <c r="C22" s="28"/>
      <c r="D22" s="28"/>
      <c r="E22" s="28"/>
      <c r="F22" s="28"/>
      <c r="G22" s="28"/>
      <c r="H22" s="28"/>
      <c r="I22" s="28"/>
      <c r="J22" s="28"/>
      <c r="K22" s="28"/>
      <c r="L22" s="28"/>
      <c r="M22" s="28"/>
      <c r="N22" s="28"/>
      <c r="O22" s="28"/>
      <c r="P22" s="36"/>
      <c r="Q22" s="36"/>
      <c r="R22" s="36"/>
    </row>
    <row r="23" spans="1:18">
      <c r="A23" s="25"/>
      <c r="B23" s="28"/>
      <c r="C23" s="28"/>
      <c r="D23" s="28"/>
      <c r="E23" s="28"/>
      <c r="F23" s="28"/>
      <c r="G23" s="28"/>
      <c r="H23" s="28"/>
      <c r="I23" s="28"/>
      <c r="J23" s="28"/>
      <c r="K23" s="28"/>
      <c r="L23" s="28"/>
      <c r="M23" s="28"/>
      <c r="N23" s="28"/>
      <c r="O23" s="28"/>
      <c r="P23" s="36"/>
      <c r="Q23" s="36"/>
      <c r="R23" s="36"/>
    </row>
    <row r="24" spans="1:18">
      <c r="A24" s="25"/>
      <c r="B24" s="28"/>
      <c r="C24" s="28"/>
      <c r="D24" s="28"/>
      <c r="E24" s="28"/>
      <c r="F24" s="28"/>
      <c r="G24" s="28"/>
      <c r="H24" s="28"/>
      <c r="I24" s="28"/>
      <c r="J24" s="28"/>
      <c r="K24" s="28"/>
      <c r="L24" s="28"/>
      <c r="M24" s="28"/>
      <c r="N24" s="28"/>
      <c r="O24" s="28"/>
      <c r="P24" s="36"/>
      <c r="Q24" s="36"/>
      <c r="R24" s="36"/>
    </row>
    <row r="25" spans="1:18">
      <c r="A25" s="25"/>
      <c r="B25" s="28"/>
      <c r="C25" s="28"/>
      <c r="D25" s="28"/>
      <c r="E25" s="28"/>
      <c r="F25" s="28"/>
      <c r="G25" s="28"/>
      <c r="H25" s="28"/>
      <c r="I25" s="28"/>
      <c r="J25" s="28"/>
      <c r="K25" s="28"/>
      <c r="L25" s="28"/>
      <c r="M25" s="28"/>
      <c r="N25" s="28"/>
      <c r="O25" s="28"/>
      <c r="P25" s="36"/>
      <c r="Q25" s="36"/>
      <c r="R25" s="36"/>
    </row>
    <row r="26" spans="1:18">
      <c r="A26" s="25"/>
      <c r="B26" s="28"/>
      <c r="C26" s="28"/>
      <c r="D26" s="28"/>
      <c r="E26" s="28"/>
      <c r="F26" s="28"/>
      <c r="G26" s="28"/>
      <c r="H26" s="28"/>
      <c r="I26" s="28"/>
      <c r="J26" s="28"/>
      <c r="K26" s="28"/>
      <c r="L26" s="28"/>
      <c r="M26" s="28"/>
      <c r="N26" s="28"/>
      <c r="O26" s="28"/>
      <c r="P26" s="36"/>
      <c r="Q26" s="36"/>
      <c r="R26" s="36"/>
    </row>
    <row r="27" spans="1:18">
      <c r="A27" s="25"/>
      <c r="B27" s="28"/>
      <c r="C27" s="28"/>
      <c r="D27" s="28"/>
      <c r="E27" s="28"/>
      <c r="F27" s="28"/>
      <c r="G27" s="28"/>
      <c r="H27" s="28"/>
      <c r="I27" s="28"/>
      <c r="J27" s="28"/>
      <c r="K27" s="28"/>
      <c r="L27" s="28"/>
      <c r="M27" s="28"/>
      <c r="N27" s="28"/>
      <c r="O27" s="28"/>
      <c r="P27" s="36"/>
      <c r="Q27" s="36"/>
      <c r="R27" s="36"/>
    </row>
    <row r="28" spans="1:18">
      <c r="B28" s="28"/>
      <c r="C28" s="28"/>
      <c r="D28" s="28"/>
      <c r="E28" s="28"/>
      <c r="F28" s="28"/>
      <c r="G28" s="28"/>
      <c r="H28" s="28"/>
      <c r="I28" s="28"/>
      <c r="J28" s="28"/>
      <c r="K28" s="28"/>
      <c r="L28" s="28"/>
      <c r="M28" s="28"/>
      <c r="N28" s="28"/>
      <c r="O28" s="28"/>
      <c r="P28" s="36"/>
      <c r="Q28" s="36"/>
      <c r="R28" s="36"/>
    </row>
    <row r="29" spans="1:18">
      <c r="B29" s="28"/>
      <c r="C29" s="28"/>
      <c r="D29" s="28"/>
      <c r="E29" s="28"/>
      <c r="F29" s="28"/>
      <c r="G29" s="28"/>
      <c r="H29" s="28"/>
      <c r="I29" s="28"/>
      <c r="J29" s="28"/>
      <c r="K29" s="28"/>
      <c r="L29" s="28"/>
      <c r="M29" s="28"/>
      <c r="N29" s="28"/>
      <c r="O29" s="28"/>
      <c r="P29" s="36"/>
      <c r="Q29" s="36"/>
      <c r="R29" s="36"/>
    </row>
    <row r="30" spans="1:18">
      <c r="B30" s="28"/>
      <c r="C30" s="28"/>
      <c r="D30" s="28"/>
      <c r="E30" s="28"/>
      <c r="F30" s="28"/>
      <c r="G30" s="28"/>
      <c r="H30" s="28"/>
      <c r="I30" s="28"/>
      <c r="J30" s="28"/>
      <c r="K30" s="28"/>
      <c r="L30" s="28"/>
      <c r="M30" s="28"/>
      <c r="N30" s="28"/>
      <c r="O30" s="28"/>
      <c r="P30" s="36"/>
      <c r="Q30" s="36"/>
      <c r="R30" s="36"/>
    </row>
    <row r="31" spans="1:18">
      <c r="B31" s="28"/>
      <c r="C31" s="28"/>
      <c r="D31" s="28"/>
      <c r="E31" s="28"/>
      <c r="F31" s="28"/>
      <c r="G31" s="28"/>
      <c r="H31" s="28"/>
      <c r="I31" s="28"/>
      <c r="J31" s="28"/>
      <c r="K31" s="28"/>
      <c r="L31" s="28"/>
      <c r="M31" s="28"/>
      <c r="N31" s="28"/>
      <c r="O31" s="28"/>
      <c r="P31" s="36"/>
      <c r="Q31" s="36"/>
      <c r="R31" s="36"/>
    </row>
    <row r="32" spans="1:18">
      <c r="B32" s="28"/>
      <c r="C32" s="28"/>
      <c r="D32" s="28"/>
      <c r="E32" s="28"/>
      <c r="F32" s="28"/>
      <c r="G32" s="28"/>
      <c r="H32" s="28"/>
      <c r="I32" s="28"/>
      <c r="J32" s="28"/>
      <c r="K32" s="28"/>
      <c r="L32" s="28"/>
      <c r="M32" s="28"/>
      <c r="N32" s="28"/>
      <c r="O32" s="28"/>
      <c r="P32" s="36"/>
      <c r="Q32" s="36"/>
      <c r="R32" s="36"/>
    </row>
    <row r="33" spans="2:18">
      <c r="B33" s="28"/>
      <c r="C33" s="28"/>
      <c r="D33" s="28"/>
      <c r="E33" s="28"/>
      <c r="F33" s="28"/>
      <c r="G33" s="28"/>
      <c r="H33" s="28"/>
      <c r="I33" s="28"/>
      <c r="J33" s="28"/>
      <c r="K33" s="28"/>
      <c r="L33" s="28"/>
      <c r="M33" s="28"/>
      <c r="N33" s="28"/>
      <c r="O33" s="28"/>
      <c r="P33" s="36"/>
      <c r="Q33" s="36"/>
      <c r="R33" s="36"/>
    </row>
    <row r="34" spans="2:18">
      <c r="B34" s="28"/>
      <c r="C34" s="28"/>
      <c r="D34" s="28"/>
      <c r="E34" s="28"/>
      <c r="F34" s="28"/>
      <c r="G34" s="28"/>
      <c r="H34" s="28"/>
      <c r="I34" s="28"/>
      <c r="J34" s="28"/>
      <c r="K34" s="28"/>
      <c r="L34" s="28"/>
      <c r="M34" s="28"/>
      <c r="N34" s="28"/>
      <c r="O34" s="28"/>
      <c r="P34" s="36"/>
      <c r="Q34" s="36"/>
      <c r="R34" s="36"/>
    </row>
    <row r="35" spans="2:18">
      <c r="B35" s="28"/>
      <c r="C35" s="28"/>
      <c r="D35" s="28"/>
      <c r="E35" s="28"/>
      <c r="F35" s="28"/>
      <c r="G35" s="28"/>
      <c r="H35" s="28"/>
      <c r="I35" s="28"/>
      <c r="J35" s="28"/>
      <c r="K35" s="28"/>
      <c r="L35" s="28"/>
      <c r="M35" s="28"/>
      <c r="N35" s="28"/>
      <c r="O35" s="28"/>
      <c r="P35" s="36"/>
      <c r="Q35" s="36"/>
      <c r="R35" s="36"/>
    </row>
    <row r="36" spans="2:18">
      <c r="B36" s="28"/>
      <c r="C36" s="28"/>
      <c r="D36" s="28"/>
      <c r="E36" s="28"/>
      <c r="F36" s="28"/>
      <c r="G36" s="28"/>
      <c r="H36" s="28"/>
      <c r="I36" s="28"/>
      <c r="J36" s="28"/>
      <c r="K36" s="28"/>
      <c r="L36" s="28"/>
      <c r="M36" s="28"/>
      <c r="N36" s="28"/>
      <c r="O36" s="28"/>
      <c r="P36" s="36"/>
      <c r="Q36" s="36"/>
      <c r="R36" s="36"/>
    </row>
    <row r="37" spans="2:18">
      <c r="B37" s="28"/>
      <c r="C37" s="28"/>
      <c r="D37" s="28"/>
      <c r="E37" s="28"/>
      <c r="F37" s="28"/>
      <c r="G37" s="28"/>
      <c r="H37" s="28"/>
      <c r="I37" s="28"/>
      <c r="J37" s="28"/>
      <c r="K37" s="28"/>
      <c r="L37" s="28"/>
      <c r="M37" s="28"/>
      <c r="N37" s="28"/>
      <c r="O37" s="28"/>
      <c r="P37" s="36"/>
      <c r="Q37" s="36"/>
      <c r="R37" s="36"/>
    </row>
    <row r="38" spans="2:18">
      <c r="B38" s="28"/>
      <c r="C38" s="28"/>
      <c r="D38" s="28"/>
      <c r="E38" s="28"/>
      <c r="F38" s="28"/>
      <c r="G38" s="28"/>
      <c r="H38" s="28"/>
      <c r="I38" s="28"/>
      <c r="J38" s="28"/>
      <c r="K38" s="28"/>
      <c r="L38" s="28"/>
      <c r="M38" s="28"/>
      <c r="N38" s="28"/>
      <c r="O38" s="28"/>
      <c r="P38" s="36"/>
      <c r="Q38" s="36"/>
      <c r="R38" s="36"/>
    </row>
    <row r="39" spans="2:18">
      <c r="B39" s="28"/>
      <c r="C39" s="28"/>
      <c r="D39" s="28"/>
      <c r="E39" s="28"/>
      <c r="F39" s="28"/>
      <c r="G39" s="28"/>
      <c r="H39" s="28"/>
      <c r="I39" s="28"/>
      <c r="J39" s="28"/>
      <c r="K39" s="28"/>
      <c r="L39" s="28"/>
      <c r="M39" s="28"/>
      <c r="N39" s="28"/>
      <c r="O39" s="28"/>
      <c r="P39" s="36"/>
      <c r="Q39" s="36"/>
      <c r="R39" s="36"/>
    </row>
    <row r="40" spans="2:18">
      <c r="B40" s="28"/>
      <c r="C40" s="28"/>
      <c r="D40" s="28"/>
      <c r="E40" s="28"/>
      <c r="F40" s="28"/>
      <c r="G40" s="28"/>
      <c r="H40" s="28"/>
      <c r="I40" s="28"/>
      <c r="J40" s="28"/>
      <c r="K40" s="28"/>
      <c r="L40" s="28"/>
      <c r="M40" s="28"/>
      <c r="N40" s="28"/>
      <c r="O40" s="28"/>
      <c r="P40" s="36"/>
      <c r="Q40" s="36"/>
      <c r="R40" s="36"/>
    </row>
    <row r="41" spans="2:18">
      <c r="B41" s="28"/>
      <c r="C41" s="28"/>
      <c r="D41" s="28"/>
      <c r="E41" s="28"/>
      <c r="F41" s="28"/>
      <c r="G41" s="28"/>
      <c r="H41" s="28"/>
      <c r="I41" s="28"/>
      <c r="J41" s="28"/>
      <c r="K41" s="28"/>
      <c r="L41" s="28"/>
      <c r="M41" s="28"/>
      <c r="N41" s="28"/>
      <c r="O41" s="28"/>
      <c r="P41" s="36"/>
      <c r="Q41" s="36"/>
      <c r="R41" s="36"/>
    </row>
    <row r="42" spans="2:18">
      <c r="B42" s="28"/>
      <c r="C42" s="28"/>
      <c r="D42" s="28"/>
      <c r="E42" s="28"/>
      <c r="F42" s="28"/>
      <c r="G42" s="28"/>
      <c r="H42" s="28"/>
      <c r="I42" s="28"/>
      <c r="J42" s="28"/>
      <c r="K42" s="28"/>
      <c r="L42" s="28"/>
      <c r="M42" s="28"/>
      <c r="N42" s="28"/>
      <c r="O42" s="28"/>
      <c r="P42" s="36"/>
      <c r="Q42" s="36"/>
      <c r="R42" s="36"/>
    </row>
    <row r="43" spans="2:18">
      <c r="B43" s="28"/>
      <c r="C43" s="28"/>
      <c r="D43" s="28"/>
      <c r="E43" s="28"/>
      <c r="F43" s="28"/>
      <c r="G43" s="28"/>
      <c r="H43" s="28"/>
      <c r="I43" s="28"/>
      <c r="J43" s="28"/>
      <c r="K43" s="28"/>
      <c r="L43" s="28"/>
      <c r="M43" s="28"/>
      <c r="N43" s="28"/>
      <c r="O43" s="28"/>
      <c r="P43" s="36"/>
      <c r="Q43" s="36"/>
      <c r="R43" s="36"/>
    </row>
    <row r="44" spans="2:18">
      <c r="B44" s="28"/>
      <c r="C44" s="28"/>
      <c r="D44" s="28"/>
      <c r="E44" s="28"/>
      <c r="F44" s="28"/>
      <c r="G44" s="28"/>
      <c r="H44" s="28"/>
      <c r="I44" s="28"/>
      <c r="J44" s="28"/>
      <c r="K44" s="28"/>
      <c r="L44" s="28"/>
      <c r="M44" s="28"/>
      <c r="N44" s="28"/>
      <c r="O44" s="28"/>
      <c r="P44" s="36"/>
      <c r="Q44" s="36"/>
      <c r="R44" s="36"/>
    </row>
    <row r="45" spans="2:18">
      <c r="B45" s="28"/>
      <c r="C45" s="28"/>
      <c r="D45" s="28"/>
      <c r="E45" s="28"/>
      <c r="F45" s="28"/>
      <c r="G45" s="28"/>
      <c r="H45" s="28"/>
      <c r="I45" s="28"/>
      <c r="J45" s="28"/>
      <c r="K45" s="28"/>
      <c r="L45" s="28"/>
      <c r="M45" s="28"/>
      <c r="N45" s="28"/>
      <c r="O45" s="28"/>
      <c r="P45" s="36"/>
      <c r="Q45" s="36"/>
      <c r="R45" s="36"/>
    </row>
    <row r="46" spans="2:18">
      <c r="B46" s="28"/>
      <c r="C46" s="28"/>
      <c r="D46" s="28"/>
      <c r="E46" s="28"/>
      <c r="F46" s="28"/>
      <c r="G46" s="28"/>
      <c r="H46" s="28"/>
      <c r="I46" s="28"/>
      <c r="J46" s="28"/>
      <c r="K46" s="28"/>
      <c r="L46" s="28"/>
      <c r="M46" s="28"/>
      <c r="N46" s="28"/>
      <c r="O46" s="28"/>
      <c r="P46" s="36"/>
      <c r="Q46" s="36"/>
      <c r="R46" s="36"/>
    </row>
    <row r="47" spans="2:18">
      <c r="B47" s="28"/>
      <c r="C47" s="28"/>
      <c r="D47" s="28"/>
      <c r="E47" s="28"/>
      <c r="F47" s="28"/>
      <c r="G47" s="28"/>
      <c r="H47" s="28"/>
      <c r="I47" s="28"/>
      <c r="J47" s="28"/>
      <c r="K47" s="28"/>
      <c r="L47" s="28"/>
      <c r="M47" s="28"/>
      <c r="N47" s="28"/>
      <c r="O47" s="28"/>
      <c r="P47" s="36"/>
      <c r="Q47" s="36"/>
      <c r="R47" s="36"/>
    </row>
    <row r="48" spans="2:18">
      <c r="B48" s="28"/>
      <c r="C48" s="28"/>
      <c r="D48" s="28"/>
      <c r="E48" s="28"/>
      <c r="F48" s="28"/>
      <c r="G48" s="28"/>
      <c r="H48" s="28"/>
      <c r="I48" s="28"/>
      <c r="J48" s="28"/>
      <c r="K48" s="28"/>
      <c r="L48" s="28"/>
      <c r="M48" s="28"/>
      <c r="N48" s="28"/>
      <c r="O48" s="28"/>
      <c r="P48" s="36"/>
      <c r="Q48" s="36"/>
      <c r="R48" s="36"/>
    </row>
  </sheetData>
  <hyperlinks>
    <hyperlink ref="A6" location="Finance!A6" display="داشبورد منابع مالی" xr:uid="{0565CA20-E38A-4337-9DB6-17D9D9FC1256}"/>
  </hyperlink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D6744-A453-4DD0-BE26-7A44F0CB7760}">
  <dimension ref="A1:A27"/>
  <sheetViews>
    <sheetView rightToLeft="1" workbookViewId="0">
      <selection activeCell="A5" sqref="A5"/>
    </sheetView>
  </sheetViews>
  <sheetFormatPr defaultRowHeight="14.4" outlineLevelCol="1"/>
  <cols>
    <col min="1" max="1" width="26.88671875" customWidth="1" outlineLevel="1"/>
  </cols>
  <sheetData>
    <row r="1" spans="1:1">
      <c r="A1" s="24"/>
    </row>
    <row r="2" spans="1:1">
      <c r="A2" s="24"/>
    </row>
    <row r="3" spans="1:1">
      <c r="A3" s="24"/>
    </row>
    <row r="4" spans="1:1">
      <c r="A4" s="24"/>
    </row>
    <row r="5" spans="1:1" ht="28.8" customHeight="1">
      <c r="A5" s="23" t="s">
        <v>100</v>
      </c>
    </row>
    <row r="6" spans="1:1" ht="28.2" customHeight="1">
      <c r="A6" s="27" t="s">
        <v>101</v>
      </c>
    </row>
    <row r="7" spans="1:1">
      <c r="A7" s="24"/>
    </row>
    <row r="8" spans="1:1">
      <c r="A8" s="24"/>
    </row>
    <row r="9" spans="1:1">
      <c r="A9" s="24"/>
    </row>
    <row r="10" spans="1:1">
      <c r="A10" s="24"/>
    </row>
    <row r="11" spans="1:1">
      <c r="A11" s="24"/>
    </row>
    <row r="12" spans="1:1">
      <c r="A12" s="24"/>
    </row>
    <row r="13" spans="1:1">
      <c r="A13" s="24"/>
    </row>
    <row r="14" spans="1:1">
      <c r="A14" s="24"/>
    </row>
    <row r="15" spans="1:1">
      <c r="A15" s="24"/>
    </row>
    <row r="16" spans="1:1">
      <c r="A16" s="24"/>
    </row>
    <row r="17" spans="1:1">
      <c r="A17" s="24"/>
    </row>
    <row r="18" spans="1:1">
      <c r="A18" s="24"/>
    </row>
    <row r="19" spans="1:1">
      <c r="A19" s="24"/>
    </row>
    <row r="20" spans="1:1">
      <c r="A20" s="24"/>
    </row>
    <row r="21" spans="1:1">
      <c r="A21" s="24"/>
    </row>
    <row r="22" spans="1:1">
      <c r="A22" s="24"/>
    </row>
    <row r="23" spans="1:1">
      <c r="A23" s="24"/>
    </row>
    <row r="24" spans="1:1">
      <c r="A24" s="24"/>
    </row>
    <row r="25" spans="1:1">
      <c r="A25" s="24"/>
    </row>
    <row r="26" spans="1:1">
      <c r="A26" s="24"/>
    </row>
    <row r="27" spans="1:1">
      <c r="A27" s="24"/>
    </row>
  </sheetData>
  <hyperlinks>
    <hyperlink ref="A5" location="HR!A5" display="داشبورد منابع انسانی" xr:uid="{31FE3941-877F-4680-BE63-0F563F9C3D60}"/>
    <hyperlink ref="A6" location="Finance!A6" display="داشبورد منابع مالی" xr:uid="{BA81D0EF-D914-459A-99D4-F74099A9347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~13FD�/~'1*E'FF'E,F3�*FH9 B1'1/'/*'1�. *HD/3FE'G *HD/�/ ~13FD�/~'1*E'FF'E,F3�*FH9 B1'1/'/*'1�. *HD/3FE'G *HD/
</file>

<file path=customXml/item8.xml>��
</file>

<file path=customXml/item9.xml>���/ ~13FD�4'.5 '12�'(�E'G~'�G -BHB~'/'4F'.'D5(�EG �'1A1E'(�EGE'D�'*.'D5 /1�'A*��/ ~13FD�4'.5 '12�'(�E'G~'�G -BHB~'/'4F'.'D5(�EG �'1A1E'(�EGE'D�'*.'D5 /1�'A*�
</file>

<file path=customXml/item10.xml>���/ ~13FD�/~'1*E'FF'E,F3�*FH9 B1'1/'/*'1�. *HD/3FE'G *HD/,F3�*,F3�*�/ ~13FD�4'.5 '12�'(�E'G~'�G -BHB~'/'4F'.'D5(�EG �'1A1E'(�EGE'D�'*.'D5 /1�'A*��/ ~13FD��/ ~13FD��/ ~13FD��/ ~13FD��/ ~13FD��/ ~13FD��/ ~13FD��/ ~13FD��/ ~13FD�/~'1*E'FF'E,F3�*FH9 B1'1/'/*'1�. *HD/3FE'G *HD/,F3�*,F3�*�/ ~13FD�4'.5 '12�'(�E'G~'�G -BHB~'/'4F'.'D5(�EG �'1A1E'(�EGE'D�'*.'D5 /1�'A*��/ ~13FD��/ ~13FD��/ ~13FD��/ ~13FD��/ ~13FD��/ ~13FD��/ ~13FD��/ ~13FD�,F3�*,F3�*,F3�*�/ ~13FD�/~'1*E'FF'E,F3�*FH9 B1'1/'/*'1�. *HD/3FE'G *HD/,F3�*,F3�*,F3�*,F3�*,F3�*,F3�*,F3�*,F3�*,F3�*�/ ~13FD�/~'1*E'FF'E,F3�*FH9 B1'1/'/*'1�. *HD/3FE'G *HD/,F3�*,F3�*,F3�*,F3�*,F3�*,F3�*�/ ~13FD�4'.5 '12�'(�E'G~'�G -BHB~'/'4F'.'D5(�EG �'1A1E'(�EGE'D�'*.'D5 /1�'A*��/ ~13FD�4'.5 '12�'(�E'G~'�G -BHB~'/'4F'.'D5(�EG �'1A1E'(�EGE'D�'*.'D5 /1�'A*�
</file>

<file path=customXml/item11.xml>���/ ~13FD�/~'1*E'FF'E,F3�*FH9 B1'1/'/*'1�. *HD/3FE'G *HD/�/ ~13FD�4'.5 '12�'(�E'G~'�G -BHB~'/'4F'.'D5(�EG �'1A1E'(�EGE'D�'*.'D5 /1�'A*�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B0E757A-FF75-4B8F-91C9-A1E2B3F8F023}">
  <ds:schemaRefs/>
</ds:datastoreItem>
</file>

<file path=customXml/itemProps2.xml><?xml version="1.0" encoding="utf-8"?>
<ds:datastoreItem xmlns:ds="http://schemas.openxmlformats.org/officeDocument/2006/customXml" ds:itemID="{D22D0999-AF39-4C69-85F9-0FBB7EBA3E0D}">
  <ds:schemaRefs/>
</ds:datastoreItem>
</file>

<file path=customXml/itemProps3.xml><?xml version="1.0" encoding="utf-8"?>
<ds:datastoreItem xmlns:ds="http://schemas.openxmlformats.org/officeDocument/2006/customXml" ds:itemID="{15D67988-3C12-4C07-877C-4E872A209A22}">
  <ds:schemaRefs/>
</ds:datastoreItem>
</file>

<file path=customXml/itemProps4.xml><?xml version="1.0" encoding="utf-8"?>
<ds:datastoreItem xmlns:ds="http://schemas.openxmlformats.org/officeDocument/2006/customXml" ds:itemID="{89D74162-3879-4B2C-9B43-CF5697C748E6}">
  <ds:schemaRefs/>
</ds:datastoreItem>
</file>

<file path=customXml/itemProps5.xml><?xml version="1.0" encoding="utf-8"?>
<ds:datastoreItem xmlns:ds="http://schemas.openxmlformats.org/officeDocument/2006/customXml" ds:itemID="{A587FE2E-D78A-4373-9AB9-7EE9B9DE5374}">
  <ds:schemaRefs/>
</ds:datastoreItem>
</file>

<file path=customXml/itemProps6.xml><?xml version="1.0" encoding="utf-8"?>
<ds:datastoreItem xmlns:ds="http://schemas.openxmlformats.org/officeDocument/2006/customXml" ds:itemID="{432040B9-EBAE-402F-8383-71BE4B4D054F}">
  <ds:schemaRefs/>
</ds:datastoreItem>
</file>

<file path=customXml/itemProps7.xml><?xml version="1.0" encoding="utf-8"?>
<ds:datastoreItem xmlns:ds="http://schemas.openxmlformats.org/officeDocument/2006/customXml" ds:itemID="{413B02E0-6855-4F85-BDF3-78CC729E559A}">
  <ds:schemaRefs/>
</ds:datastoreItem>
</file>

<file path=customXml/itemProps8.xml><?xml version="1.0" encoding="utf-8"?>
<ds:datastoreItem xmlns:ds="http://schemas.openxmlformats.org/officeDocument/2006/customXml" ds:itemID="{F4A73013-85A7-4697-A0F2-02480C2AC680}">
  <ds:schemaRefs/>
</ds:datastoreItem>
</file>

<file path=customXml/itemProps9.xml><?xml version="1.0" encoding="utf-8"?>
<ds:datastoreItem xmlns:ds="http://schemas.openxmlformats.org/officeDocument/2006/customXml" ds:itemID="{7BC372AD-8DDA-4544-8E8D-4AA73E41EC66}">
  <ds:schemaRefs/>
</ds:datastoreItem>
</file>

<file path=customXml/itemProps10.xml><?xml version="1.0" encoding="utf-8"?>
<ds:datastoreItem xmlns:ds="http://schemas.openxmlformats.org/officeDocument/2006/customXml" ds:itemID="{DC1C34F6-566C-488E-8213-D61C414B4450}">
  <ds:schemaRefs/>
</ds:datastoreItem>
</file>

<file path=customXml/itemProps11.xml><?xml version="1.0" encoding="utf-8"?>
<ds:datastoreItem xmlns:ds="http://schemas.openxmlformats.org/officeDocument/2006/customXml" ds:itemID="{C4104414-35BA-4949-88D7-F3C4C7905F26}">
  <ds:schemaRefs/>
</ds:datastoreItem>
</file>

<file path=customXml/itemProps12.xml><?xml version="1.0" encoding="utf-8"?>
<ds:datastoreItem xmlns:ds="http://schemas.openxmlformats.org/officeDocument/2006/customXml" ds:itemID="{DB8D41D8-3202-45ED-B317-B4F29E94607B}">
  <ds:schemaRefs/>
</ds:datastoreItem>
</file>

<file path=customXml/itemProps13.xml><?xml version="1.0" encoding="utf-8"?>
<ds:datastoreItem xmlns:ds="http://schemas.openxmlformats.org/officeDocument/2006/customXml" ds:itemID="{FE925B91-65B7-45C0-8C65-B033698555FE}">
  <ds:schemaRefs/>
</ds:datastoreItem>
</file>

<file path=customXml/itemProps14.xml><?xml version="1.0" encoding="utf-8"?>
<ds:datastoreItem xmlns:ds="http://schemas.openxmlformats.org/officeDocument/2006/customXml" ds:itemID="{DEFF3428-01FB-45A5-AC8F-968EE2812835}">
  <ds:schemaRefs/>
</ds:datastoreItem>
</file>

<file path=customXml/itemProps15.xml><?xml version="1.0" encoding="utf-8"?>
<ds:datastoreItem xmlns:ds="http://schemas.openxmlformats.org/officeDocument/2006/customXml" ds:itemID="{772F4C6E-A8BA-46FF-95FF-12992A3875D3}">
  <ds:schemaRefs/>
</ds:datastoreItem>
</file>

<file path=customXml/itemProps16.xml><?xml version="1.0" encoding="utf-8"?>
<ds:datastoreItem xmlns:ds="http://schemas.openxmlformats.org/officeDocument/2006/customXml" ds:itemID="{D3F43CE6-13C7-48B7-94C9-2459250619D9}">
  <ds:schemaRefs/>
</ds:datastoreItem>
</file>

<file path=customXml/itemProps17.xml><?xml version="1.0" encoding="utf-8"?>
<ds:datastoreItem xmlns:ds="http://schemas.openxmlformats.org/officeDocument/2006/customXml" ds:itemID="{3F74BB42-6469-4A05-94ED-5E1E91D240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Sheet11</vt:lpstr>
      <vt:lpstr>Calc</vt:lpstr>
      <vt:lpstr>Info</vt:lpstr>
      <vt:lpstr>Salary</vt:lpstr>
      <vt:lpstr>Sheet3</vt:lpstr>
      <vt:lpstr>HR</vt:lpstr>
      <vt:lpstr>Finance</vt:lpstr>
      <vt:lpstr>average</vt:lpstr>
      <vt:lpstr>Birth</vt:lpstr>
      <vt:lpstr>birthday</vt:lpstr>
      <vt:lpstr>Gauge</vt:lpstr>
      <vt:lpstr>title</vt:lpstr>
      <vt:lpstr>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ExcelPedia</dc:creator>
  <cp:lastModifiedBy>pardis</cp:lastModifiedBy>
  <dcterms:created xsi:type="dcterms:W3CDTF">2022-03-23T14:15:05Z</dcterms:created>
  <dcterms:modified xsi:type="dcterms:W3CDTF">2025-11-19T14:36:37Z</dcterms:modified>
</cp:coreProperties>
</file>